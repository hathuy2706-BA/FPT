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 Cover" sheetId="1" r:id="rId1"/>
    <sheet name="📌 Product Backlog" sheetId="2" r:id="rId2"/>
    <sheet name="🔄 Vận hành" sheetId="3" r:id="rId3"/>
    <sheet name="🗓 Sprint Planning" sheetId="4" r:id="rId4"/>
    <sheet name="✅ Definition of Done" sheetId="5" r:id="rId5"/>
    <sheet name="🗂 Kanban Board" sheetId="6" r:id="rId6"/>
  </sheets>
  <calcPr calcId="124519" fullCalcOnLoad="1"/>
</workbook>
</file>

<file path=xl/sharedStrings.xml><?xml version="1.0" encoding="utf-8"?>
<sst xmlns="http://schemas.openxmlformats.org/spreadsheetml/2006/main" count="557" uniqueCount="363">
  <si>
    <t>PRODUCT BACKLOG — ĐỘI PRODUCT</t>
  </si>
  <si>
    <t>Hệ thống Quản lý Task | FPT Software</t>
  </si>
  <si>
    <t>Dự án</t>
  </si>
  <si>
    <t>Task Management System</t>
  </si>
  <si>
    <t>Phiên bản</t>
  </si>
  <si>
    <t>1.0</t>
  </si>
  <si>
    <t>Team</t>
  </si>
  <si>
    <t>Product Team (BA/PO/Dev)</t>
  </si>
  <si>
    <t>Ngày tạo</t>
  </si>
  <si>
    <t>25/06/2026</t>
  </si>
  <si>
    <t>Author</t>
  </si>
  <si>
    <t>Product Owner / BA</t>
  </si>
  <si>
    <t>Trạng thái</t>
  </si>
  <si>
    <t>Draft</t>
  </si>
  <si>
    <t>Tổng User Stories</t>
  </si>
  <si>
    <t>Tổng Epics</t>
  </si>
  <si>
    <t>Tổng Story Points (US)</t>
  </si>
  <si>
    <t>Tổng Task Vận hành</t>
  </si>
  <si>
    <t>In Progress (Vận hành)</t>
  </si>
  <si>
    <t>To Do (Vận hành)</t>
  </si>
  <si>
    <t>* Các ô màu cam tự động cập nhật khi thêm/sửa dữ liệu trong sheet Product Backlog và Vận hành.</t>
  </si>
  <si>
    <t>PRODUCT BACKLOG — HỆ THỐNG QUẢN LÝ TASK | ĐỘI PRODUCT</t>
  </si>
  <si>
    <t>#</t>
  </si>
  <si>
    <t>ID</t>
  </si>
  <si>
    <t>Epic</t>
  </si>
  <si>
    <t>Epic Name</t>
  </si>
  <si>
    <t>US Title</t>
  </si>
  <si>
    <t>User Story (As a/I want/So that)</t>
  </si>
  <si>
    <t>Acceptance Criteria (Gherkin)</t>
  </si>
  <si>
    <t>SP</t>
  </si>
  <si>
    <t>Sprint</t>
  </si>
  <si>
    <t>Status</t>
  </si>
  <si>
    <t>US-001</t>
  </si>
  <si>
    <t>EP01</t>
  </si>
  <si>
    <t>Quản lý Task</t>
  </si>
  <si>
    <t>Tạo task mới</t>
  </si>
  <si>
    <t>As a BA/PO, I want to create a new task with full details (title, description, type, assignee, priority, deadline) so that the team has a clear and trackable work item.</t>
  </si>
  <si>
    <t>GIVEN tôi ở trang Backlog
WHEN tôi nhấn "Tạo Task" và điền đầy đủ các trường bắt buộc
THEN task được tạo và hiển thị trong backlog với status "To Do"
GIVEN tôi để trống trường Title
WHEN tôi nhấn "Lưu"
THEN hệ thống hiển thị lỗi "Title không được để trống"</t>
  </si>
  <si>
    <t>Sprint 1</t>
  </si>
  <si>
    <t>To Do</t>
  </si>
  <si>
    <t>US-002</t>
  </si>
  <si>
    <t>Cập nhật trạng thái task (Kanban)</t>
  </si>
  <si>
    <t>As a team member, I want to drag &amp; drop tasks across columns (To Do → In Progress → Review → Done) so that the team can visualize workflow in real time.</t>
  </si>
  <si>
    <t>GIVEN task đang ở cột "To Do"
WHEN tôi kéo task sang "In Progress"
THEN task chuyển trạng thái và lưu timestamp bắt đầu
GIVEN task chuyển sang "Done"
THEN hệ thống ghi nhận completion date và tính cycle time</t>
  </si>
  <si>
    <t>US-003</t>
  </si>
  <si>
    <t>Assign task cho thành viên</t>
  </si>
  <si>
    <t>As a PO, I want to assign a task to one or more team members so that responsibilities are clear.</t>
  </si>
  <si>
    <t>GIVEN tôi đang xem chi tiết task
WHEN tôi chọn assignee từ dropdown danh sách thành viên
THEN task hiển thị avatar assignee và thành viên nhận notification
GIVEN task chưa có assignee
THEN hệ thống hiển thị cảnh báo "Chưa assign" trên board</t>
  </si>
  <si>
    <t>US-004</t>
  </si>
  <si>
    <t>Đặt độ ưu tiên &amp; deadline</t>
  </si>
  <si>
    <t>As a PO, I want to set priority (Critical/High/Medium/Low) and deadline for each task so that the team can focus on what matters most.</t>
  </si>
  <si>
    <t>GIVEN tôi tạo hoặc chỉnh sửa task
WHEN tôi chọn mức ưu tiên và nhập ngày deadline
THEN task hiển thị badge màu tương ứng và đếm ngược đến deadline
GIVEN deadline &lt; 2 ngày
THEN badge chuyển màu đỏ và gửi reminder notification</t>
  </si>
  <si>
    <t>US-005</t>
  </si>
  <si>
    <t>Tìm kiếm &amp; lọc task</t>
  </si>
  <si>
    <t>As a team member, I want to search and filter tasks by keyword, assignee, status, sprint, or tag so that I can quickly find relevant work.</t>
  </si>
  <si>
    <t>GIVEN tôi nhập keyword vào ô tìm kiếm
WHEN tôi gõ ≥ 2 ký tự
THEN danh sách task filter realtime theo title và description
GIVEN tôi kết hợp filter (status=In Progress + assignee=Tôi)
THEN chỉ hiển thị task thỏa mãn tất cả điều kiện</t>
  </si>
  <si>
    <t>Sprint 2</t>
  </si>
  <si>
    <t>US-006</t>
  </si>
  <si>
    <t>Comment &amp; đính kèm file trên task</t>
  </si>
  <si>
    <t>As a BA, I want to add comments and attach files (doc, pdf, image) to a task so that discussion and evidence stay in context.</t>
  </si>
  <si>
    <t>GIVEN tôi ở trang chi tiết task
WHEN tôi nhập comment và nhấn "Gửi"
THEN comment hiển thị với timestamp và avatar người dùng
GIVEN tôi đính kèm file &gt; 25 MB
THEN hệ thống hiển thị lỗi giới hạn kích thước file</t>
  </si>
  <si>
    <t>US-007</t>
  </si>
  <si>
    <t>EP02</t>
  </si>
  <si>
    <t>Sprint Planning</t>
  </si>
  <si>
    <t>Tạo và quản lý Sprint</t>
  </si>
  <si>
    <t>As a PO, I want to create sprints with name, goal, start date, and end date so that the team works in structured time-boxes.</t>
  </si>
  <si>
    <t>GIVEN tôi ở màn Sprint Planning
WHEN tôi tạo Sprint với đầy đủ thông tin
THEN Sprint xuất hiện trong danh sách với status "Planned"
GIVEN sprint end date &lt; start date
THEN hệ thống báo lỗi validation</t>
  </si>
  <si>
    <t>US-008</t>
  </si>
  <si>
    <t>Thêm task vào Sprint</t>
  </si>
  <si>
    <t>As a PO, I want to move tasks from backlog into a sprint so that the sprint scope is clearly defined.</t>
  </si>
  <si>
    <t>GIVEN tôi đang xem Sprint backlog
WHEN tôi kéo task từ Product Backlog vào Sprint
THEN task gắn với Sprint và cập nhật tổng Story Points
GIVEN sprint đã Start
WHEN tôi thêm task mới
THEN hiển thị cảnh báo "Thêm task giữa Sprint — cần PO xác nhận"</t>
  </si>
  <si>
    <t>US-009</t>
  </si>
  <si>
    <t>Burn-down chart theo Sprint</t>
  </si>
  <si>
    <t>As a PO, I want to see a burn-down chart for the active sprint so that I can track whether the team is on pace to complete the sprint goal.</t>
  </si>
  <si>
    <t>GIVEN sprint đang chạy
WHEN tôi mở tab Burn-down
THEN biểu đồ hiển thị đường ideal vs actual remaining SP theo ngày
GIVEN tất cả task của sprint = Done
THEN đường actual chạm 0 và hiển thị badge "Sprint Completed"</t>
  </si>
  <si>
    <t>Sprint 3</t>
  </si>
  <si>
    <t>US-010</t>
  </si>
  <si>
    <t>Sprint Retrospective notes</t>
  </si>
  <si>
    <t>As a Scrum Master/PO, I want to record retrospective notes (Went Well, Improvement, Action Items) after each sprint so that lessons learned are persisted.</t>
  </si>
  <si>
    <t>GIVEN sprint đã kết thúc
WHEN tôi mở trang Retrospective
THEN có 3 cột Went Well / Improvement / Action Items để thêm sticky notes
GIVEN tôi lưu retro
THEN dữ liệu liên kết với sprint đó và có thể xem lại trong lịch sử</t>
  </si>
  <si>
    <t>US-011</t>
  </si>
  <si>
    <t>EP03</t>
  </si>
  <si>
    <t>Dashboard &amp; Báo cáo</t>
  </si>
  <si>
    <t>Dashboard cá nhân</t>
  </si>
  <si>
    <t>As a team member, I want a personal dashboard showing my assigned tasks, deadlines, and today's priorities so that I can plan my workday efficiently.</t>
  </si>
  <si>
    <t>GIVEN tôi đăng nhập
WHEN tôi mở My Dashboard
THEN hiển thị: task đang làm, due today, overdue, và activity feed
GIVEN không có task nào
THEN hiển thị empty state "Không có task — hãy tận hưởng ngày hôm nay!"</t>
  </si>
  <si>
    <t>US-012</t>
  </si>
  <si>
    <t>Dashboard Team — tổng quan tiến độ</t>
  </si>
  <si>
    <t>As a PO, I want a team dashboard with task distribution by status, workload per member, and sprint progress so that I can manage team capacity.</t>
  </si>
  <si>
    <t>GIVEN tôi ở Team Dashboard
WHEN sprint đang active
THEN hiển thị: % Done, số task theo status, workload chart từng thành viên
GIVEN thành viên có &gt; 5 task In Progress
THEN hiển thị cảnh báo overload với màu cam</t>
  </si>
  <si>
    <t>US-013</t>
  </si>
  <si>
    <t>Báo cáo Velocity Sprint-over-Sprint</t>
  </si>
  <si>
    <t>As a PO, I want to see team velocity (SP completed per sprint) across multiple sprints so that I can make reliable release forecasts.</t>
  </si>
  <si>
    <t>GIVEN có ≥ 2 sprint đã hoàn thành
WHEN tôi mở Velocity Report
THEN biểu đồ cột hiển thị SP committed vs SP completed cho từng sprint
GIVEN tôi hover vào cột sprint
THEN tooltip hiển thị danh sách task của sprint đó</t>
  </si>
  <si>
    <t>Sprint 4</t>
  </si>
  <si>
    <t>US-014</t>
  </si>
  <si>
    <t>Xuất báo cáo tiến độ (PDF/Excel)</t>
  </si>
  <si>
    <t>As a PO, I want to export sprint/project progress reports to PDF or Excel so that I can share with stakeholders.</t>
  </si>
  <si>
    <t>GIVEN tôi chọn loại báo cáo và khoảng thời gian
WHEN tôi nhấn "Xuất"
THEN file được tải về trong ≤ 5 giây, đúng template FPT
GIVEN có &gt; 500 task trong report
THEN hệ thống xử lý background và gửi email khi xong</t>
  </si>
  <si>
    <t>US-015</t>
  </si>
  <si>
    <t>EP04</t>
  </si>
  <si>
    <t>Phân quyền</t>
  </si>
  <si>
    <t>Quản lý vai trò thành viên</t>
  </si>
  <si>
    <t>As an Admin/PO, I want to assign roles (PO, BA, Dev, QA, Viewer) to team members so that each person has appropriate access and permissions.</t>
  </si>
  <si>
    <t>GIVEN tôi là Admin
WHEN tôi vào Settings &gt; Members và gán role cho user
THEN user nhận email thông báo role mới, quyền thay đổi ngay lập tức
GIVEN user bị remove khỏi project
THEN tất cả task assign cho user đó hiển thị cảnh báo "Unassigned"</t>
  </si>
  <si>
    <t>US-016</t>
  </si>
  <si>
    <t>Phân quyền theo Project</t>
  </si>
  <si>
    <t>As an Admin, I want to control which members can view, edit, or manage each project so that sensitive projects are protected.</t>
  </si>
  <si>
    <t>GIVEN tôi tạo project với visibility = Private
WHEN user không được mời
THEN project không xuất hiện trong danh sách của user đó
GIVEN Viewer cố tạo task
THEN hệ thống trả về lỗi 403 Forbidden</t>
  </si>
  <si>
    <t>US-017</t>
  </si>
  <si>
    <t>EP05</t>
  </si>
  <si>
    <t>Tích hợp &amp; Thông báo</t>
  </si>
  <si>
    <t>Thông báo Email &amp; In-app</t>
  </si>
  <si>
    <t>As a team member, I want to receive notifications (in-app + email) when I'm assigned a task, mentioned in a comment, or when my task is due soon so that I never miss important updates.</t>
  </si>
  <si>
    <t>GIVEN task được assign cho tôi
WHEN assignee thay đổi
THEN tôi nhận in-app notification ngay và email trong vòng 1 phút
GIVEN tôi tắt email notification trong Settings
THEN chỉ nhận in-app, không gửi email</t>
  </si>
  <si>
    <t>US-018</t>
  </si>
  <si>
    <t>Tích hợp Slack</t>
  </si>
  <si>
    <t>As a PO, I want to receive sprint summary and task update notifications in a Slack channel so that the team stays aligned without switching tools.</t>
  </si>
  <si>
    <t>GIVEN Slack integration đã được cấu hình
WHEN task chuyển sang "Done"
THEN bot Slack gửi message vào channel với link task
GIVEN sprint kết thúc
THEN bot gửi Sprint Summary (SP done/total, % complete) vào channel</t>
  </si>
  <si>
    <t>US-019</t>
  </si>
  <si>
    <t>Tích hợp Jira (Import/Export)</t>
  </si>
  <si>
    <t>As a BA, I want to import existing tasks from Jira and export task data to Jira so that the team can migrate gradually without losing history.</t>
  </si>
  <si>
    <t>GIVEN tôi cung cấp Jira API token và project key
WHEN tôi chạy Import
THEN tất cả issues của Jira project được tạo trong hệ thống với mapping: Issue→Task, Story→User Story, Bug→Bug
GIVEN import thất bại một phần
THEN hệ thống cung cấp error log theo từng item</t>
  </si>
  <si>
    <t>Sprint 5+</t>
  </si>
  <si>
    <t>TỔNG</t>
  </si>
  <si>
    <t>MoSCoW:</t>
  </si>
  <si>
    <t>Must Have</t>
  </si>
  <si>
    <t>Should Have</t>
  </si>
  <si>
    <t>Could Have</t>
  </si>
  <si>
    <t>Won't Have v1</t>
  </si>
  <si>
    <t>TASK VẬN HÀNH — Import từ Backlog FPTvn &amp; Roadmap 18.5  |  Loại trừ: Done</t>
  </si>
  <si>
    <t>Nguồn</t>
  </si>
  <si>
    <t>Tên Task</t>
  </si>
  <si>
    <t>Mô tả yêu cầu</t>
  </si>
  <si>
    <t>Sản phẩm</t>
  </si>
  <si>
    <t>URL liên quan</t>
  </si>
  <si>
    <t>Timeline</t>
  </si>
  <si>
    <t>Ưu tiên</t>
  </si>
  <si>
    <t>PIC Ecom</t>
  </si>
  <si>
    <t>PIC Thực hiện</t>
  </si>
  <si>
    <t>Ghi chú</t>
  </si>
  <si>
    <t>OP-001</t>
  </si>
  <si>
    <t>Backlog FPTvn</t>
  </si>
  <si>
    <t>Hiển thị giá cloud camera</t>
  </si>
  <si>
    <t>Không chia giá cloud theo mắt camera → Hiển thị giá buffet cloud 50.000đ/tháng. Cho khách chọn gói cloud theo kỳ.</t>
  </si>
  <si>
    <t>Camera</t>
  </si>
  <si>
    <t>https://fpt.vn/shop/camera/payment</t>
  </si>
  <si>
    <t>15/4</t>
  </si>
  <si>
    <t>High</t>
  </si>
  <si>
    <t>Nhờ Hà check với chị Linh</t>
  </si>
  <si>
    <t>OP-002</t>
  </si>
  <si>
    <t>Trang thanh toán Camera — gói cloud 3D buffet</t>
  </si>
  <si>
    <t>Bỏ 'x5' trên gói cloud 3D buffet 6 tháng. Khi KH chọn tự lắp đặt → không hiển thị phí lắp.</t>
  </si>
  <si>
    <t>ThuyTT104</t>
  </si>
  <si>
    <t>In Progress</t>
  </si>
  <si>
    <t>Đang làm việc với chính sách</t>
  </si>
  <si>
    <t>OP-003</t>
  </si>
  <si>
    <t>Update page local theo UI mới</t>
  </si>
  <si>
    <t>Local pages và goi-dich-vu đang là source cũ → không linh hoạt thêm/chỉnh sửa section. Cần chuẩn hoá theo UI 2.0.</t>
  </si>
  <si>
    <t>Internet</t>
  </si>
  <si>
    <t>https://fpt.vn/lap-internet-wifi-hcm</t>
  </si>
  <si>
    <t>24/4</t>
  </si>
  <si>
    <t>Anhtd55</t>
  </si>
  <si>
    <t>Local: add section rồi; Breadcrumbs chưa; Heading 1 chưa</t>
  </si>
  <si>
    <t>OP-004</t>
  </si>
  <si>
    <t>Luồng nâng cấp 5 dịch vụ</t>
  </si>
  <si>
    <t>Nâng cấp VVIP, Camera, AP, băng thông, wifi6 bổ sung. Mapping chính sách nâng cấp.</t>
  </si>
  <si>
    <t>/nang-cap</t>
  </si>
  <si>
    <t>LongNH156</t>
  </si>
  <si>
    <t>OP-005</t>
  </si>
  <si>
    <t>LDP FCM</t>
  </si>
  <si>
    <t>Landing page FCM — 22/5 golive 2 LDP.</t>
  </si>
  <si>
    <t>Medium</t>
  </si>
  <si>
    <t>22/5 là golive 2 LDP</t>
  </si>
  <si>
    <t>OP-006</t>
  </si>
  <si>
    <t>CMS Tổng đài wifi — 5 mẫu LDP</t>
  </si>
  <si>
    <t>Thiết kế &amp; cấu hình 5 mẫu LDP trên CMS cho tổng đài wifi.</t>
  </si>
  <si>
    <t>DoanhCN</t>
  </si>
  <si>
    <t>OP-007</t>
  </si>
  <si>
    <t>LDP nâng cấp — bổ sung luồng giao hàng Camera</t>
  </si>
  <si>
    <t>Bổ sung luồng giao hàng cho Camera trên LDP nâng cấp.</t>
  </si>
  <si>
    <t>26/5</t>
  </si>
  <si>
    <t>OP-008</t>
  </si>
  <si>
    <t>LDP FCitizen</t>
  </si>
  <si>
    <t>LDP dành riêng cho FPTers. Chờ FTQ phản hồi quy trình bán gói.</t>
  </si>
  <si>
    <t>SonLN11</t>
  </si>
  <si>
    <t>Chờ FTQ phản hồi quy trình bán gói dành riêng cho FPTers</t>
  </si>
  <si>
    <t>OP-009</t>
  </si>
  <si>
    <t>Exit-intent popup trang Camera</t>
  </si>
  <si>
    <t>Trigger desktop: mouse move back vào logo/breadcrumb/nav. Trigger mobile: scroll up nhanh.</t>
  </si>
  <si>
    <t>/camera
/camera/*</t>
  </si>
  <si>
    <t>06/08/2026</t>
  </si>
  <si>
    <t>OP-010</t>
  </si>
  <si>
    <t>API Giá Vàng &amp; Điểm thi Đại học (Always-on)</t>
  </si>
  <si>
    <t>Tích hợp API giá vàng SJC/9999 realtime. Widget hiển thị giá. Tích hợp API điểm thi ĐH.</t>
  </si>
  <si>
    <t>06/06/2026</t>
  </si>
  <si>
    <t>Low</t>
  </si>
  <si>
    <t>Không ưu tiên giai đoạn này</t>
  </si>
  <si>
    <t>OP-011</t>
  </si>
  <si>
    <t>Trang Author Profile Chuyên gia Camera</t>
  </si>
  <si>
    <t>URL: /tac-gia/chuyen-gia-ky-thuat. Hiển thị 3-5 expert profile: ảnh thực, tên, chức vụ, chứng chỉ.</t>
  </si>
  <si>
    <t>/tac-gia/chuyen-gia-ky-thuat</t>
  </si>
  <si>
    <t>19/06</t>
  </si>
  <si>
    <t>OP-012</t>
  </si>
  <si>
    <t>LDP Ngoại Hạng Anh (NHA)</t>
  </si>
  <si>
    <t>LP tổng hợp: Kết quả trận đấu, Bảng xếp hạng cập nhật tự động qua API. 2 layout intent kết quả NHA.</t>
  </si>
  <si>
    <t>Internet/SA</t>
  </si>
  <si>
    <t>https://fpt.vn/ngoai-hang-anh/lich-thi-dau</t>
  </si>
  <si>
    <t>20/06/2026</t>
  </si>
  <si>
    <t>OP-013</t>
  </si>
  <si>
    <t>Video Hub (FPT Play)</t>
  </si>
  <si>
    <t>Block video tự động lấy nguồn từ YouTube FPT Play (Recap/Highlight). Schema VideoObject, lazy-load, responsive.</t>
  </si>
  <si>
    <t>https://fpt.vn/ngoai-hang-anh</t>
  </si>
  <si>
    <t>27/06/2026</t>
  </si>
  <si>
    <t>OP-014</t>
  </si>
  <si>
    <t>Structured Data Schema cho nội dung SEO</t>
  </si>
  <si>
    <t>Triển khai JSON-LD: Article, BreadcrumbList, FAQPage, Product. Tool kiểm tra: Google Rich Results.</t>
  </si>
  <si>
    <t>03/06/2026</t>
  </si>
  <si>
    <t>OP-015</t>
  </si>
  <si>
    <t>Core Web Vitals — cải thiện LCP/CLS</t>
  </si>
  <si>
    <t>LCP &lt; 2.5s, CLS &lt; 0.1. Tối ưu images (WebP/AVIF), preload critical CSS, giảm layout shift.</t>
  </si>
  <si>
    <t>OP-016</t>
  </si>
  <si>
    <t>Luồng mua mới Camera — bổ sung giỏ hàng</t>
  </si>
  <si>
    <t>BA đánh giá xây dựng thêm luồng hướng dẫn. Không mua cùng lúc 1 cam ngoài trời + 1 cam trong nhà → bổ sung giỏ hàng.</t>
  </si>
  <si>
    <t>24/06/2026</t>
  </si>
  <si>
    <t>Bổ sung thêm luồng giỏ hàng — đã bsung vào Backlog</t>
  </si>
  <si>
    <t>OP-017</t>
  </si>
  <si>
    <t>Luồng Mua mới Camera — đứt gãy tại bước Thanh toán</t>
  </si>
  <si>
    <t>Thao tác mua mới Camera Play bị đứt gãy tại bước Thanh toán. Cần fix flow.</t>
  </si>
  <si>
    <t>OP-018</t>
  </si>
  <si>
    <t>Luồng Mua mới Camera — fix combo</t>
  </si>
  <si>
    <t>Không mua cùng lúc 1 cam ngoài trời và 1 cam trong nhà → bổ sung giỏ hàng combo.</t>
  </si>
  <si>
    <t>RM-001</t>
  </si>
  <si>
    <t>Roadmap 18.5</t>
  </si>
  <si>
    <t>Luồng bán Camera chỉ giao hàng: Sàn TMĐT</t>
  </si>
  <si>
    <t>Luồng bán Camera chỉ giao hàng trên Sàn TMĐT. Chưa có chỗ nâng cấp Camera combo trên HD net only.</t>
  </si>
  <si>
    <t>Sàn TMĐT</t>
  </si>
  <si>
    <t>20/6</t>
  </si>
  <si>
    <t>Anh LongNH158</t>
  </si>
  <si>
    <t>Chưa có chỗ nâng cấp camera combo trên HD net only</t>
  </si>
  <si>
    <t>RM-002</t>
  </si>
  <si>
    <t>LDP FCitizen — UI/UX &amp; chính sách gói bán</t>
  </si>
  <si>
    <t>Thiết kế UI/UX LDP FCitizen và cập nhật chính sách/gói bán &amp; verify thông tin theo chính sách tháng.</t>
  </si>
  <si>
    <t>https://fcitizen.fpt.vn/ → fpt.vn/fcitizen</t>
  </si>
  <si>
    <t>06/03/2026</t>
  </si>
  <si>
    <t>Anh Thuận</t>
  </si>
  <si>
    <t>Rồi sẽ bán thế nào? hay chỉ sửa UI LDP?</t>
  </si>
  <si>
    <t>RM-003</t>
  </si>
  <si>
    <t>Luồng nâng cấp 5 Dịch vụ - FPT.vn</t>
  </si>
  <si>
    <t>Thiết kế UI/UX, map chính sách nâng cấp 5 dịch vụ trên website FPT.vn.</t>
  </si>
  <si>
    <t>Nâng cấp/ bán thêm</t>
  </si>
  <si>
    <t>FPT.vn</t>
  </si>
  <si>
    <t>30/6</t>
  </si>
  <si>
    <t>Anh ManhDT3</t>
  </si>
  <si>
    <t>RM-004</t>
  </si>
  <si>
    <t>Hub vinh danh Giới thiệu bạn bè trên App HiFPT</t>
  </si>
  <si>
    <t>Tạo mục vinh danh KH Giới thiệu bạn bè: Level Cơ bản, Bạc, Vàng, Kim cương.</t>
  </si>
  <si>
    <t>Giới thiệu bạn bè</t>
  </si>
  <si>
    <t>HiFPT</t>
  </si>
  <si>
    <t>LinhTT119</t>
  </si>
  <si>
    <t>Chị Tuyết Vũ HiFPT</t>
  </si>
  <si>
    <t>RM-005</t>
  </si>
  <si>
    <t>LDP Giới thiệu bạn bè — Người được giới thiệu</t>
  </si>
  <si>
    <t>LDP điều hướng KH được giới thiệu vào mua toàn bộ sản phẩm FPT qua chương trình GTBB.</t>
  </si>
  <si>
    <t>30/7</t>
  </si>
  <si>
    <t>Anh Thuận &amp; Anh Tài</t>
  </si>
  <si>
    <t>RM-006</t>
  </si>
  <si>
    <t>Tích hợp Auto Pay trên website FPT.vn</t>
  </si>
  <si>
    <t>Tích hợp luồng tự động lưu thẻ và thanh toán định kỳ cho KH mua Dịch vụ trên website FPT.vn.</t>
  </si>
  <si>
    <t>Thanh toán</t>
  </si>
  <si>
    <t>Cần làm rõ kịch bản thanh toán auto pay</t>
  </si>
  <si>
    <t>RM-007</t>
  </si>
  <si>
    <t>Gửi E-Card khi mua gói SA Play trên FPT.vn &amp; HiFPT</t>
  </si>
  <si>
    <t>Khi KH mua gói SA Play, lựa chọn hình thức 'KH nhận mã và tự kích hoạt' → gửi E-Card cho bạn bè.</t>
  </si>
  <si>
    <t>SA Play</t>
  </si>
  <si>
    <t>FPT.vn &amp; HiFPT</t>
  </si>
  <si>
    <t>ISC đánh dấu KH đi theo luồng nhận mã; FPL trả thông tin qua ZNS</t>
  </si>
  <si>
    <t>RM-008</t>
  </si>
  <si>
    <t>Landing Page Camera GenZ</t>
  </si>
  <si>
    <t>Thiết kế UI/UX LDP Camera GenZ. Mapping &amp; config gói bán &amp; chính sách.</t>
  </si>
  <si>
    <t>Đánh giá lại mức độ ưu tiên → owner?</t>
  </si>
  <si>
    <t>RM-009</t>
  </si>
  <si>
    <t>Luồng Recall</t>
  </si>
  <si>
    <t>Kênh bán: FPT.vn &amp; HiFPT. Sản phẩm: Internet Only, Combo Internet+Phim, Camera.</t>
  </si>
  <si>
    <t>RM-010</t>
  </si>
  <si>
    <t>Luồng Autocall — tích hợp ZNS</t>
  </si>
  <si>
    <t>Tích hợp ZNS cho Autocall tệp KH hiện hữu — Nâng cấp/bán thêm dịch vụ.</t>
  </si>
  <si>
    <t>RM-011</t>
  </si>
  <si>
    <t>Cross-sell FPTPlay.vn</t>
  </si>
  <si>
    <t>Xây dựng luồng cross-sell từ FPT.vn sang FPTPlay.vn.</t>
  </si>
  <si>
    <t>RM-012</t>
  </si>
  <si>
    <t>Self-Service Cam trên sàn TMĐT</t>
  </si>
  <si>
    <t>Triển khai Self-Service Camera trên các sàn TMĐT (Shopee, Lazada, Tiki).</t>
  </si>
  <si>
    <t>RM-013</t>
  </si>
  <si>
    <t>Chính sách GTBB tặng thiết bị Cam &amp; Cloud</t>
  </si>
  <si>
    <t>Áp dụng chính sách Giới Thiệu Bạn Bè tặng kèm thiết bị Camera và gói Cloud.</t>
  </si>
  <si>
    <t>RM-014</t>
  </si>
  <si>
    <t>(Task chưa đặt tên — cần bổ sung)</t>
  </si>
  <si>
    <t>Task chưa có tên và mô tả. Cần PO xác nhận.</t>
  </si>
  <si>
    <t>SPRINT PLANNING — RELEASE v1</t>
  </si>
  <si>
    <t>Thời lượng</t>
  </si>
  <si>
    <t>Bắt đầu</t>
  </si>
  <si>
    <t>Kết thúc</t>
  </si>
  <si>
    <t>User Stories</t>
  </si>
  <si>
    <t>Story Points</t>
  </si>
  <si>
    <t>Sprint Goal</t>
  </si>
  <si>
    <t>2 tuần</t>
  </si>
  <si>
    <t>08/07/2026</t>
  </si>
  <si>
    <t>US-001,002,003,004,007,015</t>
  </si>
  <si>
    <t>19 SP</t>
  </si>
  <si>
    <t>Xây dựng core: tạo/assign/status task + phân quyền cơ bản</t>
  </si>
  <si>
    <t>09/07/2026</t>
  </si>
  <si>
    <t>22/07/2026</t>
  </si>
  <si>
    <t>US-005,006,008,011,016</t>
  </si>
  <si>
    <t>14 SP</t>
  </si>
  <si>
    <t>Search/filter, comment, sprint scope, dashboard cá nhân</t>
  </si>
  <si>
    <t>23/07/2026</t>
  </si>
  <si>
    <t>05/08/2026</t>
  </si>
  <si>
    <t>US-009,010,012,017</t>
  </si>
  <si>
    <t>Burn-down chart, retrospective, team dashboard, notifications</t>
  </si>
  <si>
    <t>19/08/2026</t>
  </si>
  <si>
    <t>US-013,014,018</t>
  </si>
  <si>
    <t>15 SP</t>
  </si>
  <si>
    <t>Velocity report, export PDF/Excel, Slack integration</t>
  </si>
  <si>
    <t>TBD</t>
  </si>
  <si>
    <t>8 SP</t>
  </si>
  <si>
    <t>Jira integration — ngoài phạm vi release v1</t>
  </si>
  <si>
    <t>TỔNG RELEASE v1 (Sprint 1–4)</t>
  </si>
  <si>
    <t>62 SP</t>
  </si>
  <si>
    <t>18 User Stories — ~8 tuần phát triển</t>
  </si>
  <si>
    <t>DEFINITION OF DONE (DoD) — ĐỘI PRODUCT</t>
  </si>
  <si>
    <t>Tiêu chí nghiệm thu</t>
  </si>
  <si>
    <t>Loại kiểm tra</t>
  </si>
  <si>
    <t>✓ 1</t>
  </si>
  <si>
    <t>Code đã được review bởi ít nhất 1 thành viên khác</t>
  </si>
  <si>
    <t>Code Review</t>
  </si>
  <si>
    <t>✓ 2</t>
  </si>
  <si>
    <t>Unit test coverage ≥ 80% cho business logic</t>
  </si>
  <si>
    <t>Testing</t>
  </si>
  <si>
    <t>✓ 3</t>
  </si>
  <si>
    <t>Acceptance Criteria đã pass toàn bộ (manual hoặc automated)</t>
  </si>
  <si>
    <t>AC Verification</t>
  </si>
  <si>
    <t>✓ 4</t>
  </si>
  <si>
    <t>Không có bug P1/P2 mở tại thời điểm demo</t>
  </si>
  <si>
    <t>QA Testing</t>
  </si>
  <si>
    <t>✓ 5</t>
  </si>
  <si>
    <t>UI đã được kiểm tra trên Chrome, Safari, Firefox (responsive)</t>
  </si>
  <si>
    <t>UI/Cross-browser</t>
  </si>
  <si>
    <t>✓ 6</t>
  </si>
  <si>
    <t>Tài liệu kỹ thuật (API doc, flow) được cập nhật nếu có thay đổi</t>
  </si>
  <si>
    <t>Documentation</t>
  </si>
  <si>
    <t>✓ 7</t>
  </si>
  <si>
    <t>PO/BA xác nhận nghiệm thu feature trước khi chuyển sang Done</t>
  </si>
  <si>
    <t>PO Sign-off</t>
  </si>
  <si>
    <t>KANBAN BOARD — SPRINT HIỆN TẠI</t>
  </si>
  <si>
    <t>US-001
Tạo task mới</t>
  </si>
  <si>
    <t>US-002
Cập nhật trạng thái task (Kanban)</t>
  </si>
  <si>
    <t>US-003
Assign task cho thành viên</t>
  </si>
  <si>
    <t>US-004
Đặt độ ưu tiên &amp; deadline</t>
  </si>
  <si>
    <t>US-007
Tạo và quản lý Sprint</t>
  </si>
  <si>
    <t>US-015
Quản lý vai trò thành viên</t>
  </si>
  <si>
    <t>Review</t>
  </si>
  <si>
    <t>Done</t>
  </si>
</sst>
</file>

<file path=xl/styles.xml><?xml version="1.0" encoding="utf-8"?>
<styleSheet xmlns="http://schemas.openxmlformats.org/spreadsheetml/2006/main">
  <fonts count="22">
    <font>
      <sz val="11"/>
      <color theme="1"/>
      <name val="Calibri"/>
      <family val="2"/>
      <scheme val="minor"/>
    </font>
    <font>
      <b/>
      <sz val="18"/>
      <color rgb="FFE86A23"/>
      <name val="Times New Roman"/>
      <family val="2"/>
    </font>
    <font>
      <b/>
      <sz val="13"/>
      <color rgb="FF1F2737"/>
      <name val="Times New Roman"/>
      <family val="2"/>
    </font>
    <font>
      <b/>
      <sz val="11"/>
      <color rgb="FFFFFFFF"/>
      <name val="Times New Roman"/>
      <family val="2"/>
    </font>
    <font>
      <sz val="11"/>
      <color theme="1"/>
      <name val="Times New Roman"/>
      <family val="2"/>
    </font>
    <font>
      <b/>
      <sz val="12"/>
      <color rgb="FFE86A23"/>
      <name val="Times New Roman"/>
      <family val="2"/>
    </font>
    <font>
      <sz val="9"/>
      <color rgb="FF888888"/>
      <name val="Times New Roman"/>
      <family val="2"/>
    </font>
    <font>
      <b/>
      <sz val="12"/>
      <color rgb="FFFFFFFF"/>
      <name val="Times New Roman"/>
      <family val="2"/>
    </font>
    <font>
      <b/>
      <sz val="11"/>
      <color rgb="FF1E4D8C"/>
      <name val="Times New Roman"/>
      <family val="2"/>
    </font>
    <font>
      <b/>
      <sz val="11"/>
      <color rgb="FFE86A23"/>
      <name val="Times New Roman"/>
      <family val="2"/>
    </font>
    <font>
      <b/>
      <sz val="11"/>
      <color theme="1"/>
      <name val="Times New Roman"/>
      <family val="2"/>
    </font>
    <font>
      <b/>
      <sz val="12"/>
      <color theme="1"/>
      <name val="Times New Roman"/>
      <family val="2"/>
    </font>
    <font>
      <sz val="11"/>
      <color rgb="FF1E4D8C"/>
      <name val="Times New Roman"/>
      <family val="2"/>
    </font>
    <font>
      <b/>
      <sz val="10"/>
      <color theme="1"/>
      <name val="Times New Roman"/>
      <family val="2"/>
    </font>
    <font>
      <b/>
      <sz val="11"/>
      <color rgb="FFC0392B"/>
      <name val="Times New Roman"/>
      <family val="2"/>
    </font>
    <font>
      <b/>
      <sz val="11"/>
      <color rgb="FFE67E22"/>
      <name val="Times New Roman"/>
      <family val="2"/>
    </font>
    <font>
      <sz val="11"/>
      <color rgb="FFAAAAAA"/>
      <name val="Times New Roman"/>
      <family val="2"/>
    </font>
    <font>
      <b/>
      <sz val="11"/>
      <color rgb="FF27AE60"/>
      <name val="Times New Roman"/>
      <family val="2"/>
    </font>
    <font>
      <b/>
      <sz val="11"/>
      <color rgb="FF6C3483"/>
      <name val="Times New Roman"/>
      <family val="2"/>
    </font>
    <font>
      <sz val="11"/>
      <color rgb="FF1A7A1A"/>
      <name val="Times New Roman"/>
      <family val="2"/>
    </font>
    <font>
      <b/>
      <sz val="13"/>
      <color rgb="FFFFFFFF"/>
      <name val="Times New Roman"/>
      <family val="2"/>
    </font>
    <font>
      <sz val="9"/>
      <color theme="1"/>
      <name val="Times New Roman"/>
      <family val="2"/>
    </font>
  </fonts>
  <fills count="24">
    <fill>
      <patternFill patternType="none"/>
    </fill>
    <fill>
      <patternFill patternType="gray125"/>
    </fill>
    <fill>
      <patternFill patternType="solid">
        <fgColor rgb="FFE86A23"/>
        <bgColor indexed="64"/>
      </patternFill>
    </fill>
    <fill>
      <patternFill patternType="solid">
        <fgColor rgb="FFFFF8F4"/>
        <bgColor indexed="64"/>
      </patternFill>
    </fill>
    <fill>
      <patternFill patternType="solid">
        <fgColor rgb="FFFFF0E8"/>
        <bgColor indexed="64"/>
      </patternFill>
    </fill>
    <fill>
      <patternFill patternType="solid">
        <fgColor rgb="FF1F2737"/>
        <bgColor indexed="64"/>
      </patternFill>
    </fill>
    <fill>
      <patternFill patternType="solid">
        <fgColor rgb="FFEBF5FB"/>
        <bgColor indexed="64"/>
      </patternFill>
    </fill>
    <fill>
      <patternFill patternType="solid">
        <fgColor rgb="FFC0392B"/>
        <bgColor indexed="64"/>
      </patternFill>
    </fill>
    <fill>
      <patternFill patternType="solid">
        <fgColor rgb="FFE67E22"/>
        <bgColor indexed="64"/>
      </patternFill>
    </fill>
    <fill>
      <patternFill patternType="solid">
        <fgColor rgb="FF27AE60"/>
        <bgColor indexed="64"/>
      </patternFill>
    </fill>
    <fill>
      <patternFill patternType="solid">
        <fgColor rgb="FF95A5A6"/>
        <bgColor indexed="64"/>
      </patternFill>
    </fill>
    <fill>
      <patternFill patternType="solid">
        <fgColor rgb="FFF0F7FF"/>
        <bgColor indexed="64"/>
      </patternFill>
    </fill>
    <fill>
      <patternFill patternType="solid">
        <fgColor rgb="FFE8F4FF"/>
        <bgColor indexed="64"/>
      </patternFill>
    </fill>
    <fill>
      <patternFill patternType="solid">
        <fgColor rgb="FFFEF9E7"/>
        <bgColor indexed="64"/>
      </patternFill>
    </fill>
    <fill>
      <patternFill patternType="solid">
        <fgColor rgb="FFF5EEF8"/>
        <bgColor indexed="64"/>
      </patternFill>
    </fill>
    <fill>
      <patternFill patternType="solid">
        <fgColor rgb="FFF8F0FF"/>
        <bgColor indexed="64"/>
      </patternFill>
    </fill>
    <fill>
      <patternFill patternType="solid">
        <fgColor rgb="FFF0E8FF"/>
        <bgColor indexed="64"/>
      </patternFill>
    </fill>
    <fill>
      <patternFill patternType="solid">
        <fgColor rgb="FF1E4D8C"/>
        <bgColor indexed="64"/>
      </patternFill>
    </fill>
    <fill>
      <patternFill patternType="solid">
        <fgColor rgb="FFEFF3FB"/>
        <bgColor indexed="64"/>
      </patternFill>
    </fill>
    <fill>
      <patternFill patternType="solid">
        <fgColor rgb="FFF9F9F9"/>
        <bgColor indexed="64"/>
      </patternFill>
    </fill>
    <fill>
      <patternFill patternType="solid">
        <fgColor rgb="FFEAF4EA"/>
        <bgColor indexed="64"/>
      </patternFill>
    </fill>
    <fill>
      <patternFill patternType="solid">
        <fgColor rgb="FFD5ECD5"/>
        <bgColor indexed="64"/>
      </patternFill>
    </fill>
    <fill>
      <patternFill patternType="solid">
        <fgColor rgb="FFECF0F1"/>
        <bgColor indexed="64"/>
      </patternFill>
    </fill>
    <fill>
      <patternFill patternType="solid">
        <fgColor rgb="FFEAFAF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rgb="FFBBBBBB"/>
      </left>
      <right style="thin">
        <color rgb="FFBBBBBB"/>
      </right>
      <top style="thin">
        <color rgb="FFBBBBBB"/>
      </top>
      <bottom style="thin">
        <color rgb="FFBBBBBB"/>
      </bottom>
      <diagonal/>
    </border>
    <border>
      <left style="thin">
        <color rgb="FFDDDDDD"/>
      </left>
      <right style="thin">
        <color rgb="FFDDDDDD"/>
      </right>
      <top style="thin">
        <color rgb="FFDDDDDD"/>
      </top>
      <bottom style="thin">
        <color rgb="FFDDDDDD"/>
      </bottom>
      <diagonal/>
    </border>
    <border>
      <left style="thin">
        <color rgb="FF95A5A6"/>
      </left>
      <right style="thin">
        <color rgb="FF95A5A6"/>
      </right>
      <top style="thin">
        <color rgb="FF95A5A6"/>
      </top>
      <bottom style="thin">
        <color rgb="FF95A5A6"/>
      </bottom>
      <diagonal/>
    </border>
  </borders>
  <cellStyleXfs count="1">
    <xf numFmtId="0" fontId="0" fillId="0" borderId="0"/>
  </cellStyleXfs>
  <cellXfs count="64">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0" fillId="2" borderId="0" xfId="0" applyFill="1"/>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lignment horizontal="center" vertical="center" wrapText="1"/>
    </xf>
    <xf numFmtId="0" fontId="6" fillId="0" borderId="0" xfId="0" applyFont="1" applyAlignment="1">
      <alignment horizontal="center" vertical="center" wrapText="1"/>
    </xf>
    <xf numFmtId="0" fontId="7" fillId="2"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0" borderId="3" xfId="0" applyFont="1" applyBorder="1" applyAlignment="1">
      <alignment horizontal="center" vertical="center" wrapText="1"/>
    </xf>
    <xf numFmtId="0" fontId="8" fillId="0" borderId="1" xfId="0" applyFont="1" applyBorder="1" applyAlignment="1">
      <alignment horizontal="center" vertical="center" wrapText="1"/>
    </xf>
    <xf numFmtId="0" fontId="9" fillId="0" borderId="1" xfId="0" applyFont="1" applyBorder="1" applyAlignment="1">
      <alignment horizontal="center" vertical="center" wrapText="1"/>
    </xf>
    <xf numFmtId="0" fontId="4" fillId="0" borderId="3" xfId="0" applyFont="1" applyBorder="1" applyAlignment="1">
      <alignment vertical="center" wrapText="1"/>
    </xf>
    <xf numFmtId="0" fontId="10" fillId="0" borderId="3" xfId="0" applyFont="1" applyBorder="1" applyAlignment="1">
      <alignment vertical="center" wrapText="1"/>
    </xf>
    <xf numFmtId="0" fontId="11" fillId="0" borderId="1" xfId="0" applyFont="1" applyBorder="1" applyAlignment="1">
      <alignment horizontal="center" vertical="center" wrapText="1"/>
    </xf>
    <xf numFmtId="0" fontId="12" fillId="6"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4" fillId="3" borderId="3" xfId="0" applyFont="1" applyFill="1" applyBorder="1" applyAlignment="1">
      <alignment vertical="center" wrapText="1"/>
    </xf>
    <xf numFmtId="0" fontId="11"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13" fillId="0" borderId="0" xfId="0" applyFont="1" applyAlignment="1">
      <alignment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10" fillId="11" borderId="1" xfId="0" applyFont="1" applyFill="1" applyBorder="1" applyAlignment="1">
      <alignment vertical="center" wrapText="1"/>
    </xf>
    <xf numFmtId="0" fontId="4" fillId="11" borderId="3" xfId="0" applyFont="1" applyFill="1" applyBorder="1" applyAlignment="1">
      <alignment vertical="center" wrapText="1"/>
    </xf>
    <xf numFmtId="0" fontId="4" fillId="11" borderId="3" xfId="0" applyFont="1" applyFill="1" applyBorder="1" applyAlignment="1">
      <alignment horizontal="center" vertical="center" wrapText="1"/>
    </xf>
    <xf numFmtId="0" fontId="14" fillId="0" borderId="1" xfId="0" applyFont="1" applyBorder="1" applyAlignment="1">
      <alignment horizontal="center" vertical="center" wrapText="1"/>
    </xf>
    <xf numFmtId="0" fontId="10" fillId="12" borderId="1" xfId="0" applyFont="1" applyFill="1" applyBorder="1" applyAlignment="1">
      <alignment vertical="center" wrapText="1"/>
    </xf>
    <xf numFmtId="0" fontId="4" fillId="12" borderId="3" xfId="0" applyFont="1" applyFill="1" applyBorder="1" applyAlignment="1">
      <alignment vertical="center" wrapText="1"/>
    </xf>
    <xf numFmtId="0" fontId="4" fillId="12" borderId="3" xfId="0" applyFont="1" applyFill="1" applyBorder="1" applyAlignment="1">
      <alignment horizontal="center" vertical="center" wrapText="1"/>
    </xf>
    <xf numFmtId="0" fontId="15" fillId="13"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18" fillId="14" borderId="1" xfId="0" applyFont="1" applyFill="1" applyBorder="1" applyAlignment="1">
      <alignment horizontal="center" vertical="center" wrapText="1"/>
    </xf>
    <xf numFmtId="0" fontId="10" fillId="15" borderId="1" xfId="0" applyFont="1" applyFill="1" applyBorder="1" applyAlignment="1">
      <alignment vertical="center" wrapText="1"/>
    </xf>
    <xf numFmtId="0" fontId="4" fillId="15" borderId="3" xfId="0" applyFont="1" applyFill="1" applyBorder="1" applyAlignment="1">
      <alignment vertical="center" wrapText="1"/>
    </xf>
    <xf numFmtId="0" fontId="4" fillId="15" borderId="3" xfId="0" applyFont="1" applyFill="1" applyBorder="1" applyAlignment="1">
      <alignment horizontal="center" vertical="center" wrapText="1"/>
    </xf>
    <xf numFmtId="0" fontId="10" fillId="16" borderId="1" xfId="0" applyFont="1" applyFill="1" applyBorder="1" applyAlignment="1">
      <alignment vertical="center" wrapText="1"/>
    </xf>
    <xf numFmtId="0" fontId="4" fillId="16" borderId="3" xfId="0" applyFont="1" applyFill="1" applyBorder="1" applyAlignment="1">
      <alignment vertical="center" wrapText="1"/>
    </xf>
    <xf numFmtId="0" fontId="4" fillId="16" borderId="3" xfId="0" applyFont="1" applyFill="1" applyBorder="1" applyAlignment="1">
      <alignment horizontal="center" vertical="center" wrapText="1"/>
    </xf>
    <xf numFmtId="0" fontId="3" fillId="17" borderId="2"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4" fillId="18" borderId="3" xfId="0" applyFont="1" applyFill="1" applyBorder="1" applyAlignment="1">
      <alignment horizontal="center" vertical="center" wrapText="1"/>
    </xf>
    <xf numFmtId="0" fontId="4" fillId="18" borderId="3" xfId="0" applyFont="1" applyFill="1" applyBorder="1" applyAlignment="1">
      <alignment vertical="center" wrapText="1"/>
    </xf>
    <xf numFmtId="0" fontId="8" fillId="18" borderId="1" xfId="0" applyFont="1" applyFill="1" applyBorder="1" applyAlignment="1">
      <alignment horizontal="center" vertical="center" wrapText="1"/>
    </xf>
    <xf numFmtId="0" fontId="4" fillId="19" borderId="3" xfId="0" applyFont="1" applyFill="1" applyBorder="1" applyAlignment="1">
      <alignment vertical="center" wrapText="1"/>
    </xf>
    <xf numFmtId="0" fontId="19" fillId="20" borderId="1" xfId="0" applyFont="1" applyFill="1" applyBorder="1" applyAlignment="1">
      <alignment horizontal="center" vertical="center" wrapText="1"/>
    </xf>
    <xf numFmtId="0" fontId="19" fillId="21" borderId="1" xfId="0" applyFont="1" applyFill="1" applyBorder="1" applyAlignment="1">
      <alignment horizontal="center" vertical="center" wrapText="1"/>
    </xf>
    <xf numFmtId="0" fontId="20" fillId="10" borderId="1" xfId="0" applyFont="1" applyFill="1" applyBorder="1" applyAlignment="1">
      <alignment horizontal="center" vertical="center" wrapText="1"/>
    </xf>
    <xf numFmtId="0" fontId="20" fillId="8" borderId="1" xfId="0" applyFont="1" applyFill="1" applyBorder="1" applyAlignment="1">
      <alignment horizontal="center" vertical="center" wrapText="1"/>
    </xf>
    <xf numFmtId="0" fontId="20" fillId="17"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21" fillId="22" borderId="4" xfId="0" applyFont="1" applyFill="1" applyBorder="1" applyAlignment="1">
      <alignment vertical="center" wrapText="1"/>
    </xf>
    <xf numFmtId="0" fontId="4" fillId="13" borderId="3" xfId="0" applyFont="1" applyFill="1" applyBorder="1" applyAlignment="1">
      <alignment vertical="center" wrapText="1"/>
    </xf>
    <xf numFmtId="0" fontId="4" fillId="6" borderId="3" xfId="0" applyFont="1" applyFill="1" applyBorder="1" applyAlignment="1">
      <alignment vertical="center" wrapText="1"/>
    </xf>
    <xf numFmtId="0" fontId="4" fillId="23" borderId="3" xfId="0" applyFont="1" applyFill="1" applyBorder="1" applyAlignment="1">
      <alignment vertical="center" wrapText="1"/>
    </xf>
    <xf numFmtId="0" fontId="4" fillId="22" borderId="3" xfId="0" applyFont="1" applyFill="1" applyBorder="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fpt.vn/shop/camera/payment" TargetMode="External"/><Relationship Id="rId2" Type="http://schemas.openxmlformats.org/officeDocument/2006/relationships/hyperlink" Target="https://fpt.vn/shop/camera/payment" TargetMode="External"/><Relationship Id="rId3" Type="http://schemas.openxmlformats.org/officeDocument/2006/relationships/hyperlink" Target="https://fpt.vn/lap-internet-wifi-hcm" TargetMode="External"/><Relationship Id="rId4" Type="http://schemas.openxmlformats.org/officeDocument/2006/relationships/hyperlink" Target="https://fpt.vn/ngoai-hang-anh/lich-thi-dau" TargetMode="External"/><Relationship Id="rId5" Type="http://schemas.openxmlformats.org/officeDocument/2006/relationships/hyperlink" Target="https://fpt.vn/ngoai-hang-anh" TargetMode="External"/><Relationship Id="rId6" Type="http://schemas.openxmlformats.org/officeDocument/2006/relationships/hyperlink" Target="https://fcitizen.fpt.vn/%20&#8594;%20fpt.vn/fcitizen" TargetMode="External"/></Relationships>
</file>

<file path=xl/worksheets/sheet1.xml><?xml version="1.0" encoding="utf-8"?>
<worksheet xmlns="http://schemas.openxmlformats.org/spreadsheetml/2006/main" xmlns:r="http://schemas.openxmlformats.org/officeDocument/2006/relationships">
  <dimension ref="B3:G16"/>
  <sheetViews>
    <sheetView showGridLines="0" tabSelected="1" workbookViewId="0"/>
  </sheetViews>
  <sheetFormatPr defaultRowHeight="15"/>
  <cols>
    <col min="1" max="1" width="3.7109375" customWidth="1"/>
    <col min="2" max="7" width="18.7109375" customWidth="1"/>
  </cols>
  <sheetData>
    <row r="3" spans="2:7" ht="45" customHeight="1">
      <c r="B3" s="1" t="s">
        <v>0</v>
      </c>
      <c r="C3" s="1"/>
      <c r="D3" s="1"/>
      <c r="E3" s="1"/>
      <c r="F3" s="1"/>
      <c r="G3" s="1"/>
    </row>
    <row r="4" spans="2:7" ht="28" customHeight="1">
      <c r="B4" s="2" t="s">
        <v>1</v>
      </c>
      <c r="C4" s="2"/>
      <c r="D4" s="2"/>
      <c r="E4" s="2"/>
      <c r="F4" s="2"/>
      <c r="G4" s="2"/>
    </row>
    <row r="6" spans="2:7" ht="8" customHeight="1">
      <c r="B6" s="3"/>
      <c r="C6" s="3"/>
      <c r="D6" s="3"/>
      <c r="E6" s="3"/>
      <c r="F6" s="3"/>
      <c r="G6" s="3"/>
    </row>
    <row r="9" spans="2:7" ht="22" customHeight="1">
      <c r="B9" s="4" t="s">
        <v>2</v>
      </c>
      <c r="C9" s="5" t="s">
        <v>3</v>
      </c>
      <c r="D9" s="5"/>
      <c r="E9" s="4" t="s">
        <v>4</v>
      </c>
      <c r="F9" s="5" t="s">
        <v>5</v>
      </c>
      <c r="G9" s="5"/>
    </row>
    <row r="10" spans="2:7" ht="22" customHeight="1">
      <c r="B10" s="4" t="s">
        <v>6</v>
      </c>
      <c r="C10" s="5" t="s">
        <v>7</v>
      </c>
      <c r="D10" s="5"/>
      <c r="E10" s="4" t="s">
        <v>8</v>
      </c>
      <c r="F10" s="5" t="s">
        <v>9</v>
      </c>
      <c r="G10" s="5"/>
    </row>
    <row r="11" spans="2:7" ht="22" customHeight="1">
      <c r="B11" s="4" t="s">
        <v>10</v>
      </c>
      <c r="C11" s="5" t="s">
        <v>11</v>
      </c>
      <c r="D11" s="5"/>
      <c r="E11" s="4" t="s">
        <v>12</v>
      </c>
      <c r="F11" s="5" t="s">
        <v>13</v>
      </c>
      <c r="G11" s="5"/>
    </row>
    <row r="12" spans="2:7" ht="26" customHeight="1">
      <c r="B12" s="4" t="s">
        <v>14</v>
      </c>
      <c r="C12" s="6">
        <f>COUNTA('📌 Product Backlog'!B4:B1000)+COUNTA('🔄 Vận hành'!A4:A1000)</f>
        <v>0</v>
      </c>
      <c r="D12" s="6"/>
      <c r="E12" s="4" t="s">
        <v>15</v>
      </c>
      <c r="F12" s="6">
        <f>SUMPRODUCT(1/COUNTIF('📌 Product Backlog'!C4:C22,'📌 Product Backlog'!C4:C22))</f>
        <v>0</v>
      </c>
      <c r="G12" s="6"/>
    </row>
    <row r="13" spans="2:7" ht="26" customHeight="1">
      <c r="B13" s="4" t="s">
        <v>16</v>
      </c>
      <c r="C13" s="6">
        <f>SUM('📌 Product Backlog'!H4:H22)</f>
        <v>0</v>
      </c>
      <c r="D13" s="6"/>
      <c r="E13" s="4" t="s">
        <v>17</v>
      </c>
      <c r="F13" s="6">
        <f>COUNTA('🔄 Vận hành'!A4:A1000)</f>
        <v>0</v>
      </c>
      <c r="G13" s="6"/>
    </row>
    <row r="14" spans="2:7" ht="26" customHeight="1">
      <c r="B14" s="4" t="s">
        <v>18</v>
      </c>
      <c r="C14" s="6">
        <f>COUNTIF('🔄 Vận hành'!K4:K35,"In Progress")</f>
        <v>0</v>
      </c>
      <c r="D14" s="6"/>
      <c r="E14" s="4" t="s">
        <v>19</v>
      </c>
      <c r="F14" s="6">
        <f>COUNTIF('🔄 Vận hành'!K4:K35,"To Do")</f>
        <v>0</v>
      </c>
      <c r="G14" s="6"/>
    </row>
    <row r="16" spans="2:7">
      <c r="B16" s="7" t="s">
        <v>20</v>
      </c>
      <c r="C16" s="7"/>
      <c r="D16" s="7"/>
      <c r="E16" s="7"/>
      <c r="F16" s="7"/>
      <c r="G16" s="7"/>
    </row>
  </sheetData>
  <mergeCells count="16">
    <mergeCell ref="B3:G3"/>
    <mergeCell ref="B4:G4"/>
    <mergeCell ref="B6:G6"/>
    <mergeCell ref="C9:D9"/>
    <mergeCell ref="F9:G9"/>
    <mergeCell ref="C10:D10"/>
    <mergeCell ref="F10:G10"/>
    <mergeCell ref="C11:D11"/>
    <mergeCell ref="F11:G11"/>
    <mergeCell ref="C12:D12"/>
    <mergeCell ref="F12:G12"/>
    <mergeCell ref="C13:D13"/>
    <mergeCell ref="F13:G13"/>
    <mergeCell ref="C14:D14"/>
    <mergeCell ref="F14:G14"/>
    <mergeCell ref="B16:G16"/>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J26"/>
  <sheetViews>
    <sheetView showGridLines="0" zoomScale="85" zoomScaleNormal="85" workbookViewId="0">
      <pane ySplit="3" topLeftCell="A4" activePane="bottomLeft" state="frozen"/>
      <selection pane="bottomLeft"/>
    </sheetView>
  </sheetViews>
  <sheetFormatPr defaultRowHeight="15"/>
  <cols>
    <col min="1" max="1" width="4.7109375" customWidth="1"/>
    <col min="2" max="3" width="8.7109375" customWidth="1"/>
    <col min="4" max="4" width="14.7109375" customWidth="1"/>
    <col min="5" max="5" width="22.7109375" customWidth="1"/>
    <col min="6" max="7" width="38.7109375" customWidth="1"/>
    <col min="8" max="8" width="6.7109375" customWidth="1"/>
    <col min="9" max="10" width="12.7109375" customWidth="1"/>
  </cols>
  <sheetData>
    <row r="1" spans="1:10" ht="32" customHeight="1">
      <c r="A1" s="8" t="s">
        <v>21</v>
      </c>
      <c r="B1" s="8"/>
      <c r="C1" s="8"/>
      <c r="D1" s="8"/>
      <c r="E1" s="8"/>
      <c r="F1" s="8"/>
      <c r="G1" s="8"/>
      <c r="H1" s="8"/>
      <c r="I1" s="8"/>
      <c r="J1" s="8"/>
    </row>
    <row r="2" spans="1:10" ht="28" customHeight="1"/>
    <row r="3" spans="1:10">
      <c r="A3" s="9" t="s">
        <v>22</v>
      </c>
      <c r="B3" s="9" t="s">
        <v>23</v>
      </c>
      <c r="C3" s="9" t="s">
        <v>24</v>
      </c>
      <c r="D3" s="9" t="s">
        <v>25</v>
      </c>
      <c r="E3" s="9" t="s">
        <v>26</v>
      </c>
      <c r="F3" s="9" t="s">
        <v>27</v>
      </c>
      <c r="G3" s="9" t="s">
        <v>28</v>
      </c>
      <c r="H3" s="9" t="s">
        <v>29</v>
      </c>
      <c r="I3" s="9" t="s">
        <v>30</v>
      </c>
      <c r="J3" s="9" t="s">
        <v>31</v>
      </c>
    </row>
    <row r="4" spans="1:10" ht="90" customHeight="1">
      <c r="A4" s="10">
        <v>1</v>
      </c>
      <c r="B4" s="11" t="s">
        <v>32</v>
      </c>
      <c r="C4" s="12" t="s">
        <v>33</v>
      </c>
      <c r="D4" s="13" t="s">
        <v>34</v>
      </c>
      <c r="E4" s="14" t="s">
        <v>35</v>
      </c>
      <c r="F4" s="13" t="s">
        <v>36</v>
      </c>
      <c r="G4" s="13" t="s">
        <v>37</v>
      </c>
      <c r="H4" s="15">
        <v>3</v>
      </c>
      <c r="I4" s="10" t="s">
        <v>38</v>
      </c>
      <c r="J4" s="16" t="s">
        <v>39</v>
      </c>
    </row>
    <row r="5" spans="1:10" ht="90" customHeight="1">
      <c r="A5" s="17">
        <v>2</v>
      </c>
      <c r="B5" s="18" t="s">
        <v>40</v>
      </c>
      <c r="C5" s="19" t="s">
        <v>33</v>
      </c>
      <c r="D5" s="20" t="s">
        <v>34</v>
      </c>
      <c r="E5" s="14" t="s">
        <v>41</v>
      </c>
      <c r="F5" s="20" t="s">
        <v>42</v>
      </c>
      <c r="G5" s="20" t="s">
        <v>43</v>
      </c>
      <c r="H5" s="21">
        <v>3</v>
      </c>
      <c r="I5" s="17" t="s">
        <v>38</v>
      </c>
      <c r="J5" s="16" t="s">
        <v>39</v>
      </c>
    </row>
    <row r="6" spans="1:10" ht="90" customHeight="1">
      <c r="A6" s="10">
        <v>3</v>
      </c>
      <c r="B6" s="11" t="s">
        <v>44</v>
      </c>
      <c r="C6" s="12" t="s">
        <v>33</v>
      </c>
      <c r="D6" s="13" t="s">
        <v>34</v>
      </c>
      <c r="E6" s="14" t="s">
        <v>45</v>
      </c>
      <c r="F6" s="13" t="s">
        <v>46</v>
      </c>
      <c r="G6" s="13" t="s">
        <v>47</v>
      </c>
      <c r="H6" s="15">
        <v>2</v>
      </c>
      <c r="I6" s="10" t="s">
        <v>38</v>
      </c>
      <c r="J6" s="16" t="s">
        <v>39</v>
      </c>
    </row>
    <row r="7" spans="1:10" ht="90" customHeight="1">
      <c r="A7" s="17">
        <v>4</v>
      </c>
      <c r="B7" s="18" t="s">
        <v>48</v>
      </c>
      <c r="C7" s="19" t="s">
        <v>33</v>
      </c>
      <c r="D7" s="20" t="s">
        <v>34</v>
      </c>
      <c r="E7" s="14" t="s">
        <v>49</v>
      </c>
      <c r="F7" s="20" t="s">
        <v>50</v>
      </c>
      <c r="G7" s="20" t="s">
        <v>51</v>
      </c>
      <c r="H7" s="21">
        <v>2</v>
      </c>
      <c r="I7" s="17" t="s">
        <v>38</v>
      </c>
      <c r="J7" s="16" t="s">
        <v>39</v>
      </c>
    </row>
    <row r="8" spans="1:10" ht="90" customHeight="1">
      <c r="A8" s="10">
        <v>5</v>
      </c>
      <c r="B8" s="11" t="s">
        <v>52</v>
      </c>
      <c r="C8" s="12" t="s">
        <v>33</v>
      </c>
      <c r="D8" s="13" t="s">
        <v>34</v>
      </c>
      <c r="E8" s="14" t="s">
        <v>53</v>
      </c>
      <c r="F8" s="13" t="s">
        <v>54</v>
      </c>
      <c r="G8" s="13" t="s">
        <v>55</v>
      </c>
      <c r="H8" s="15">
        <v>3</v>
      </c>
      <c r="I8" s="10" t="s">
        <v>56</v>
      </c>
      <c r="J8" s="16" t="s">
        <v>39</v>
      </c>
    </row>
    <row r="9" spans="1:10" ht="90" customHeight="1">
      <c r="A9" s="17">
        <v>6</v>
      </c>
      <c r="B9" s="18" t="s">
        <v>57</v>
      </c>
      <c r="C9" s="19" t="s">
        <v>33</v>
      </c>
      <c r="D9" s="20" t="s">
        <v>34</v>
      </c>
      <c r="E9" s="14" t="s">
        <v>58</v>
      </c>
      <c r="F9" s="20" t="s">
        <v>59</v>
      </c>
      <c r="G9" s="20" t="s">
        <v>60</v>
      </c>
      <c r="H9" s="21">
        <v>3</v>
      </c>
      <c r="I9" s="17" t="s">
        <v>56</v>
      </c>
      <c r="J9" s="16" t="s">
        <v>39</v>
      </c>
    </row>
    <row r="10" spans="1:10" ht="90" customHeight="1">
      <c r="A10" s="10">
        <v>7</v>
      </c>
      <c r="B10" s="11" t="s">
        <v>61</v>
      </c>
      <c r="C10" s="12" t="s">
        <v>62</v>
      </c>
      <c r="D10" s="13" t="s">
        <v>63</v>
      </c>
      <c r="E10" s="14" t="s">
        <v>64</v>
      </c>
      <c r="F10" s="13" t="s">
        <v>65</v>
      </c>
      <c r="G10" s="13" t="s">
        <v>66</v>
      </c>
      <c r="H10" s="15">
        <v>3</v>
      </c>
      <c r="I10" s="10" t="s">
        <v>38</v>
      </c>
      <c r="J10" s="16" t="s">
        <v>39</v>
      </c>
    </row>
    <row r="11" spans="1:10" ht="90" customHeight="1">
      <c r="A11" s="17">
        <v>8</v>
      </c>
      <c r="B11" s="18" t="s">
        <v>67</v>
      </c>
      <c r="C11" s="19" t="s">
        <v>62</v>
      </c>
      <c r="D11" s="20" t="s">
        <v>63</v>
      </c>
      <c r="E11" s="14" t="s">
        <v>68</v>
      </c>
      <c r="F11" s="20" t="s">
        <v>69</v>
      </c>
      <c r="G11" s="20" t="s">
        <v>70</v>
      </c>
      <c r="H11" s="21">
        <v>3</v>
      </c>
      <c r="I11" s="17" t="s">
        <v>56</v>
      </c>
      <c r="J11" s="16" t="s">
        <v>39</v>
      </c>
    </row>
    <row r="12" spans="1:10" ht="90" customHeight="1">
      <c r="A12" s="10">
        <v>9</v>
      </c>
      <c r="B12" s="11" t="s">
        <v>71</v>
      </c>
      <c r="C12" s="12" t="s">
        <v>62</v>
      </c>
      <c r="D12" s="13" t="s">
        <v>63</v>
      </c>
      <c r="E12" s="14" t="s">
        <v>72</v>
      </c>
      <c r="F12" s="13" t="s">
        <v>73</v>
      </c>
      <c r="G12" s="13" t="s">
        <v>74</v>
      </c>
      <c r="H12" s="15">
        <v>5</v>
      </c>
      <c r="I12" s="10" t="s">
        <v>75</v>
      </c>
      <c r="J12" s="16" t="s">
        <v>39</v>
      </c>
    </row>
    <row r="13" spans="1:10" ht="90" customHeight="1">
      <c r="A13" s="17">
        <v>10</v>
      </c>
      <c r="B13" s="18" t="s">
        <v>76</v>
      </c>
      <c r="C13" s="19" t="s">
        <v>62</v>
      </c>
      <c r="D13" s="20" t="s">
        <v>63</v>
      </c>
      <c r="E13" s="14" t="s">
        <v>77</v>
      </c>
      <c r="F13" s="20" t="s">
        <v>78</v>
      </c>
      <c r="G13" s="20" t="s">
        <v>79</v>
      </c>
      <c r="H13" s="21">
        <v>3</v>
      </c>
      <c r="I13" s="17" t="s">
        <v>75</v>
      </c>
      <c r="J13" s="16" t="s">
        <v>39</v>
      </c>
    </row>
    <row r="14" spans="1:10" ht="90" customHeight="1">
      <c r="A14" s="10">
        <v>11</v>
      </c>
      <c r="B14" s="11" t="s">
        <v>80</v>
      </c>
      <c r="C14" s="12" t="s">
        <v>81</v>
      </c>
      <c r="D14" s="13" t="s">
        <v>82</v>
      </c>
      <c r="E14" s="14" t="s">
        <v>83</v>
      </c>
      <c r="F14" s="13" t="s">
        <v>84</v>
      </c>
      <c r="G14" s="13" t="s">
        <v>85</v>
      </c>
      <c r="H14" s="15">
        <v>3</v>
      </c>
      <c r="I14" s="10" t="s">
        <v>56</v>
      </c>
      <c r="J14" s="16" t="s">
        <v>39</v>
      </c>
    </row>
    <row r="15" spans="1:10" ht="90" customHeight="1">
      <c r="A15" s="17">
        <v>12</v>
      </c>
      <c r="B15" s="18" t="s">
        <v>86</v>
      </c>
      <c r="C15" s="19" t="s">
        <v>81</v>
      </c>
      <c r="D15" s="20" t="s">
        <v>82</v>
      </c>
      <c r="E15" s="14" t="s">
        <v>87</v>
      </c>
      <c r="F15" s="20" t="s">
        <v>88</v>
      </c>
      <c r="G15" s="20" t="s">
        <v>89</v>
      </c>
      <c r="H15" s="21">
        <v>5</v>
      </c>
      <c r="I15" s="17" t="s">
        <v>75</v>
      </c>
      <c r="J15" s="16" t="s">
        <v>39</v>
      </c>
    </row>
    <row r="16" spans="1:10" ht="90" customHeight="1">
      <c r="A16" s="10">
        <v>13</v>
      </c>
      <c r="B16" s="11" t="s">
        <v>90</v>
      </c>
      <c r="C16" s="12" t="s">
        <v>81</v>
      </c>
      <c r="D16" s="13" t="s">
        <v>82</v>
      </c>
      <c r="E16" s="14" t="s">
        <v>91</v>
      </c>
      <c r="F16" s="13" t="s">
        <v>92</v>
      </c>
      <c r="G16" s="13" t="s">
        <v>93</v>
      </c>
      <c r="H16" s="15">
        <v>5</v>
      </c>
      <c r="I16" s="10" t="s">
        <v>94</v>
      </c>
      <c r="J16" s="16" t="s">
        <v>39</v>
      </c>
    </row>
    <row r="17" spans="1:10" ht="90" customHeight="1">
      <c r="A17" s="17">
        <v>14</v>
      </c>
      <c r="B17" s="18" t="s">
        <v>95</v>
      </c>
      <c r="C17" s="19" t="s">
        <v>81</v>
      </c>
      <c r="D17" s="20" t="s">
        <v>82</v>
      </c>
      <c r="E17" s="14" t="s">
        <v>96</v>
      </c>
      <c r="F17" s="20" t="s">
        <v>97</v>
      </c>
      <c r="G17" s="20" t="s">
        <v>98</v>
      </c>
      <c r="H17" s="21">
        <v>5</v>
      </c>
      <c r="I17" s="17" t="s">
        <v>94</v>
      </c>
      <c r="J17" s="16" t="s">
        <v>39</v>
      </c>
    </row>
    <row r="18" spans="1:10" ht="90" customHeight="1">
      <c r="A18" s="10">
        <v>15</v>
      </c>
      <c r="B18" s="11" t="s">
        <v>99</v>
      </c>
      <c r="C18" s="12" t="s">
        <v>100</v>
      </c>
      <c r="D18" s="13" t="s">
        <v>101</v>
      </c>
      <c r="E18" s="14" t="s">
        <v>102</v>
      </c>
      <c r="F18" s="13" t="s">
        <v>103</v>
      </c>
      <c r="G18" s="13" t="s">
        <v>104</v>
      </c>
      <c r="H18" s="15">
        <v>3</v>
      </c>
      <c r="I18" s="10" t="s">
        <v>38</v>
      </c>
      <c r="J18" s="16" t="s">
        <v>39</v>
      </c>
    </row>
    <row r="19" spans="1:10" ht="90" customHeight="1">
      <c r="A19" s="17">
        <v>16</v>
      </c>
      <c r="B19" s="18" t="s">
        <v>105</v>
      </c>
      <c r="C19" s="19" t="s">
        <v>100</v>
      </c>
      <c r="D19" s="20" t="s">
        <v>101</v>
      </c>
      <c r="E19" s="14" t="s">
        <v>106</v>
      </c>
      <c r="F19" s="20" t="s">
        <v>107</v>
      </c>
      <c r="G19" s="20" t="s">
        <v>108</v>
      </c>
      <c r="H19" s="21">
        <v>3</v>
      </c>
      <c r="I19" s="17" t="s">
        <v>56</v>
      </c>
      <c r="J19" s="16" t="s">
        <v>39</v>
      </c>
    </row>
    <row r="20" spans="1:10" ht="90" customHeight="1">
      <c r="A20" s="10">
        <v>17</v>
      </c>
      <c r="B20" s="11" t="s">
        <v>109</v>
      </c>
      <c r="C20" s="12" t="s">
        <v>110</v>
      </c>
      <c r="D20" s="13" t="s">
        <v>111</v>
      </c>
      <c r="E20" s="14" t="s">
        <v>112</v>
      </c>
      <c r="F20" s="13" t="s">
        <v>113</v>
      </c>
      <c r="G20" s="13" t="s">
        <v>114</v>
      </c>
      <c r="H20" s="15">
        <v>3</v>
      </c>
      <c r="I20" s="10" t="s">
        <v>75</v>
      </c>
      <c r="J20" s="16" t="s">
        <v>39</v>
      </c>
    </row>
    <row r="21" spans="1:10" ht="90" customHeight="1">
      <c r="A21" s="17">
        <v>18</v>
      </c>
      <c r="B21" s="18" t="s">
        <v>115</v>
      </c>
      <c r="C21" s="19" t="s">
        <v>110</v>
      </c>
      <c r="D21" s="20" t="s">
        <v>111</v>
      </c>
      <c r="E21" s="14" t="s">
        <v>116</v>
      </c>
      <c r="F21" s="20" t="s">
        <v>117</v>
      </c>
      <c r="G21" s="20" t="s">
        <v>118</v>
      </c>
      <c r="H21" s="21">
        <v>5</v>
      </c>
      <c r="I21" s="17" t="s">
        <v>94</v>
      </c>
      <c r="J21" s="16" t="s">
        <v>39</v>
      </c>
    </row>
    <row r="22" spans="1:10" ht="90" customHeight="1">
      <c r="A22" s="10">
        <v>19</v>
      </c>
      <c r="B22" s="11" t="s">
        <v>119</v>
      </c>
      <c r="C22" s="12" t="s">
        <v>110</v>
      </c>
      <c r="D22" s="13" t="s">
        <v>111</v>
      </c>
      <c r="E22" s="14" t="s">
        <v>120</v>
      </c>
      <c r="F22" s="13" t="s">
        <v>121</v>
      </c>
      <c r="G22" s="13" t="s">
        <v>122</v>
      </c>
      <c r="H22" s="15">
        <v>8</v>
      </c>
      <c r="I22" s="10" t="s">
        <v>123</v>
      </c>
      <c r="J22" s="16" t="s">
        <v>39</v>
      </c>
    </row>
    <row r="24" spans="1:10" ht="24" customHeight="1">
      <c r="A24" s="22" t="s">
        <v>124</v>
      </c>
      <c r="B24" s="22"/>
      <c r="C24" s="22"/>
      <c r="D24" s="22"/>
      <c r="E24" s="22"/>
      <c r="F24" s="22"/>
      <c r="G24" s="22"/>
      <c r="H24" s="22">
        <f>SUM(H4:H22)</f>
        <v>0</v>
      </c>
      <c r="I24" s="22">
        <f>COUNTA(I4:I22)&amp;" sprints"</f>
        <v>0</v>
      </c>
      <c r="J24" s="22">
        <f>COUNTA(J4:J22)&amp;" US"</f>
        <v>0</v>
      </c>
    </row>
    <row r="26" spans="1:10" ht="22" customHeight="1">
      <c r="A26" s="23" t="s">
        <v>125</v>
      </c>
      <c r="B26" s="24" t="s">
        <v>126</v>
      </c>
      <c r="C26" s="25" t="s">
        <v>127</v>
      </c>
      <c r="D26" s="26" t="s">
        <v>128</v>
      </c>
      <c r="E26" s="27" t="s">
        <v>129</v>
      </c>
    </row>
  </sheetData>
  <mergeCells count="2">
    <mergeCell ref="A1:J1"/>
    <mergeCell ref="A24:G24"/>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L37"/>
  <sheetViews>
    <sheetView showGridLines="0" zoomScale="85" zoomScaleNormal="85" workbookViewId="0">
      <pane ySplit="3" topLeftCell="A4" activePane="bottomLeft" state="frozen"/>
      <selection pane="bottomLeft"/>
    </sheetView>
  </sheetViews>
  <sheetFormatPr defaultRowHeight="15"/>
  <cols>
    <col min="1" max="1" width="8.7109375" customWidth="1"/>
    <col min="2" max="2" width="14.7109375" customWidth="1"/>
    <col min="3" max="3" width="22.7109375" customWidth="1"/>
    <col min="4" max="4" width="32.7109375" customWidth="1"/>
    <col min="5" max="5" width="12.7109375" customWidth="1"/>
    <col min="6" max="6" width="20.7109375" customWidth="1"/>
    <col min="7" max="7" width="12.7109375" customWidth="1"/>
    <col min="8" max="8" width="10.7109375" customWidth="1"/>
    <col min="9" max="9" width="14.7109375" customWidth="1"/>
    <col min="10" max="10" width="18.7109375" customWidth="1"/>
    <col min="11" max="11" width="12.7109375" customWidth="1"/>
    <col min="12" max="12" width="26.7109375" customWidth="1"/>
  </cols>
  <sheetData>
    <row r="1" spans="1:12" ht="32" customHeight="1">
      <c r="A1" s="8" t="s">
        <v>130</v>
      </c>
      <c r="B1" s="8"/>
      <c r="C1" s="8"/>
      <c r="D1" s="8"/>
      <c r="E1" s="8"/>
      <c r="F1" s="8"/>
      <c r="G1" s="8"/>
      <c r="H1" s="8"/>
      <c r="I1" s="8"/>
      <c r="J1" s="8"/>
      <c r="K1" s="8"/>
      <c r="L1" s="8"/>
    </row>
    <row r="2" spans="1:12" ht="28" customHeight="1"/>
    <row r="3" spans="1:12">
      <c r="A3" s="9" t="s">
        <v>23</v>
      </c>
      <c r="B3" s="9" t="s">
        <v>131</v>
      </c>
      <c r="C3" s="9" t="s">
        <v>132</v>
      </c>
      <c r="D3" s="9" t="s">
        <v>133</v>
      </c>
      <c r="E3" s="9" t="s">
        <v>134</v>
      </c>
      <c r="F3" s="9" t="s">
        <v>135</v>
      </c>
      <c r="G3" s="9" t="s">
        <v>136</v>
      </c>
      <c r="H3" s="9" t="s">
        <v>137</v>
      </c>
      <c r="I3" s="9" t="s">
        <v>138</v>
      </c>
      <c r="J3" s="9" t="s">
        <v>139</v>
      </c>
      <c r="K3" s="9" t="s">
        <v>12</v>
      </c>
      <c r="L3" s="9" t="s">
        <v>140</v>
      </c>
    </row>
    <row r="4" spans="1:12" ht="75" customHeight="1">
      <c r="A4" s="11" t="s">
        <v>141</v>
      </c>
      <c r="B4" s="28" t="s">
        <v>142</v>
      </c>
      <c r="C4" s="29" t="s">
        <v>143</v>
      </c>
      <c r="D4" s="30" t="s">
        <v>144</v>
      </c>
      <c r="E4" s="31" t="s">
        <v>145</v>
      </c>
      <c r="F4" s="30" t="s">
        <v>146</v>
      </c>
      <c r="G4" s="31" t="s">
        <v>147</v>
      </c>
      <c r="H4" s="32" t="s">
        <v>148</v>
      </c>
      <c r="I4" s="31"/>
      <c r="J4" s="31"/>
      <c r="K4" s="16" t="s">
        <v>39</v>
      </c>
      <c r="L4" s="30" t="s">
        <v>149</v>
      </c>
    </row>
    <row r="5" spans="1:12" ht="75" customHeight="1">
      <c r="A5" s="18" t="s">
        <v>150</v>
      </c>
      <c r="B5" s="28" t="s">
        <v>142</v>
      </c>
      <c r="C5" s="33" t="s">
        <v>151</v>
      </c>
      <c r="D5" s="34" t="s">
        <v>152</v>
      </c>
      <c r="E5" s="35" t="s">
        <v>145</v>
      </c>
      <c r="F5" s="34" t="s">
        <v>146</v>
      </c>
      <c r="G5" s="35" t="s">
        <v>147</v>
      </c>
      <c r="H5" s="32" t="s">
        <v>148</v>
      </c>
      <c r="I5" s="35" t="s">
        <v>153</v>
      </c>
      <c r="J5" s="35"/>
      <c r="K5" s="36" t="s">
        <v>154</v>
      </c>
      <c r="L5" s="34" t="s">
        <v>155</v>
      </c>
    </row>
    <row r="6" spans="1:12" ht="75" customHeight="1">
      <c r="A6" s="11" t="s">
        <v>156</v>
      </c>
      <c r="B6" s="28" t="s">
        <v>142</v>
      </c>
      <c r="C6" s="29" t="s">
        <v>157</v>
      </c>
      <c r="D6" s="30" t="s">
        <v>158</v>
      </c>
      <c r="E6" s="31" t="s">
        <v>159</v>
      </c>
      <c r="F6" s="30" t="s">
        <v>160</v>
      </c>
      <c r="G6" s="31" t="s">
        <v>161</v>
      </c>
      <c r="H6" s="32" t="s">
        <v>148</v>
      </c>
      <c r="I6" s="31" t="s">
        <v>162</v>
      </c>
      <c r="J6" s="31"/>
      <c r="K6" s="16" t="s">
        <v>39</v>
      </c>
      <c r="L6" s="30" t="s">
        <v>163</v>
      </c>
    </row>
    <row r="7" spans="1:12" ht="75" customHeight="1">
      <c r="A7" s="18" t="s">
        <v>164</v>
      </c>
      <c r="B7" s="28" t="s">
        <v>142</v>
      </c>
      <c r="C7" s="33" t="s">
        <v>165</v>
      </c>
      <c r="D7" s="34" t="s">
        <v>166</v>
      </c>
      <c r="E7" s="35" t="s">
        <v>159</v>
      </c>
      <c r="F7" s="34" t="s">
        <v>167</v>
      </c>
      <c r="G7" s="35"/>
      <c r="H7" s="32" t="s">
        <v>148</v>
      </c>
      <c r="I7" s="35" t="s">
        <v>168</v>
      </c>
      <c r="J7" s="35"/>
      <c r="K7" s="36" t="s">
        <v>154</v>
      </c>
      <c r="L7" s="34"/>
    </row>
    <row r="8" spans="1:12" ht="75" customHeight="1">
      <c r="A8" s="11" t="s">
        <v>169</v>
      </c>
      <c r="B8" s="28" t="s">
        <v>142</v>
      </c>
      <c r="C8" s="29" t="s">
        <v>170</v>
      </c>
      <c r="D8" s="30" t="s">
        <v>171</v>
      </c>
      <c r="E8" s="31" t="s">
        <v>159</v>
      </c>
      <c r="F8" s="30"/>
      <c r="G8" s="31"/>
      <c r="H8" s="37" t="s">
        <v>172</v>
      </c>
      <c r="I8" s="31" t="s">
        <v>168</v>
      </c>
      <c r="J8" s="31"/>
      <c r="K8" s="36" t="s">
        <v>154</v>
      </c>
      <c r="L8" s="30" t="s">
        <v>173</v>
      </c>
    </row>
    <row r="9" spans="1:12" ht="75" customHeight="1">
      <c r="A9" s="18" t="s">
        <v>174</v>
      </c>
      <c r="B9" s="28" t="s">
        <v>142</v>
      </c>
      <c r="C9" s="33" t="s">
        <v>175</v>
      </c>
      <c r="D9" s="34" t="s">
        <v>176</v>
      </c>
      <c r="E9" s="35"/>
      <c r="F9" s="34"/>
      <c r="G9" s="35"/>
      <c r="H9" s="32" t="s">
        <v>148</v>
      </c>
      <c r="I9" s="35" t="s">
        <v>177</v>
      </c>
      <c r="J9" s="35"/>
      <c r="K9" s="38"/>
      <c r="L9" s="34"/>
    </row>
    <row r="10" spans="1:12" ht="75" customHeight="1">
      <c r="A10" s="11" t="s">
        <v>178</v>
      </c>
      <c r="B10" s="28" t="s">
        <v>142</v>
      </c>
      <c r="C10" s="29" t="s">
        <v>179</v>
      </c>
      <c r="D10" s="30" t="s">
        <v>180</v>
      </c>
      <c r="E10" s="31"/>
      <c r="F10" s="30"/>
      <c r="G10" s="31" t="s">
        <v>181</v>
      </c>
      <c r="H10" s="32" t="s">
        <v>148</v>
      </c>
      <c r="I10" s="31" t="s">
        <v>153</v>
      </c>
      <c r="J10" s="31"/>
      <c r="K10" s="36" t="s">
        <v>154</v>
      </c>
      <c r="L10" s="30"/>
    </row>
    <row r="11" spans="1:12" ht="75" customHeight="1">
      <c r="A11" s="18" t="s">
        <v>182</v>
      </c>
      <c r="B11" s="28" t="s">
        <v>142</v>
      </c>
      <c r="C11" s="33" t="s">
        <v>183</v>
      </c>
      <c r="D11" s="34" t="s">
        <v>184</v>
      </c>
      <c r="E11" s="35"/>
      <c r="F11" s="34"/>
      <c r="G11" s="35"/>
      <c r="H11" s="32" t="s">
        <v>148</v>
      </c>
      <c r="I11" s="35" t="s">
        <v>185</v>
      </c>
      <c r="J11" s="35"/>
      <c r="K11" s="16" t="s">
        <v>39</v>
      </c>
      <c r="L11" s="34" t="s">
        <v>186</v>
      </c>
    </row>
    <row r="12" spans="1:12" ht="75" customHeight="1">
      <c r="A12" s="11" t="s">
        <v>187</v>
      </c>
      <c r="B12" s="28" t="s">
        <v>142</v>
      </c>
      <c r="C12" s="29" t="s">
        <v>188</v>
      </c>
      <c r="D12" s="30" t="s">
        <v>189</v>
      </c>
      <c r="E12" s="31" t="s">
        <v>145</v>
      </c>
      <c r="F12" s="30" t="s">
        <v>190</v>
      </c>
      <c r="G12" s="31" t="s">
        <v>191</v>
      </c>
      <c r="H12" s="32" t="s">
        <v>148</v>
      </c>
      <c r="I12" s="31" t="s">
        <v>185</v>
      </c>
      <c r="J12" s="31"/>
      <c r="K12" s="38"/>
      <c r="L12" s="30"/>
    </row>
    <row r="13" spans="1:12" ht="75" customHeight="1">
      <c r="A13" s="18" t="s">
        <v>192</v>
      </c>
      <c r="B13" s="28" t="s">
        <v>142</v>
      </c>
      <c r="C13" s="33" t="s">
        <v>193</v>
      </c>
      <c r="D13" s="34" t="s">
        <v>194</v>
      </c>
      <c r="E13" s="35" t="s">
        <v>159</v>
      </c>
      <c r="F13" s="34"/>
      <c r="G13" s="35" t="s">
        <v>195</v>
      </c>
      <c r="H13" s="39" t="s">
        <v>196</v>
      </c>
      <c r="I13" s="35" t="s">
        <v>185</v>
      </c>
      <c r="J13" s="35"/>
      <c r="K13" s="38"/>
      <c r="L13" s="34" t="s">
        <v>197</v>
      </c>
    </row>
    <row r="14" spans="1:12" ht="75" customHeight="1">
      <c r="A14" s="11" t="s">
        <v>198</v>
      </c>
      <c r="B14" s="28" t="s">
        <v>142</v>
      </c>
      <c r="C14" s="29" t="s">
        <v>199</v>
      </c>
      <c r="D14" s="30" t="s">
        <v>200</v>
      </c>
      <c r="E14" s="31" t="s">
        <v>145</v>
      </c>
      <c r="F14" s="30" t="s">
        <v>201</v>
      </c>
      <c r="G14" s="31" t="s">
        <v>202</v>
      </c>
      <c r="H14" s="37" t="s">
        <v>172</v>
      </c>
      <c r="I14" s="31" t="s">
        <v>185</v>
      </c>
      <c r="J14" s="31"/>
      <c r="K14" s="38"/>
      <c r="L14" s="30"/>
    </row>
    <row r="15" spans="1:12" ht="75" customHeight="1">
      <c r="A15" s="18" t="s">
        <v>203</v>
      </c>
      <c r="B15" s="28" t="s">
        <v>142</v>
      </c>
      <c r="C15" s="33" t="s">
        <v>204</v>
      </c>
      <c r="D15" s="34" t="s">
        <v>205</v>
      </c>
      <c r="E15" s="35" t="s">
        <v>206</v>
      </c>
      <c r="F15" s="34" t="s">
        <v>207</v>
      </c>
      <c r="G15" s="35" t="s">
        <v>208</v>
      </c>
      <c r="H15" s="39" t="s">
        <v>196</v>
      </c>
      <c r="I15" s="35" t="s">
        <v>185</v>
      </c>
      <c r="J15" s="35"/>
      <c r="K15" s="38"/>
      <c r="L15" s="34" t="s">
        <v>197</v>
      </c>
    </row>
    <row r="16" spans="1:12" ht="75" customHeight="1">
      <c r="A16" s="11" t="s">
        <v>209</v>
      </c>
      <c r="B16" s="28" t="s">
        <v>142</v>
      </c>
      <c r="C16" s="29" t="s">
        <v>210</v>
      </c>
      <c r="D16" s="30" t="s">
        <v>211</v>
      </c>
      <c r="E16" s="31" t="s">
        <v>206</v>
      </c>
      <c r="F16" s="30" t="s">
        <v>212</v>
      </c>
      <c r="G16" s="31" t="s">
        <v>213</v>
      </c>
      <c r="H16" s="37" t="s">
        <v>172</v>
      </c>
      <c r="I16" s="31" t="s">
        <v>185</v>
      </c>
      <c r="J16" s="31"/>
      <c r="K16" s="38"/>
      <c r="L16" s="30"/>
    </row>
    <row r="17" spans="1:12" ht="75" customHeight="1">
      <c r="A17" s="18" t="s">
        <v>214</v>
      </c>
      <c r="B17" s="28" t="s">
        <v>142</v>
      </c>
      <c r="C17" s="33" t="s">
        <v>215</v>
      </c>
      <c r="D17" s="34" t="s">
        <v>216</v>
      </c>
      <c r="E17" s="35" t="s">
        <v>159</v>
      </c>
      <c r="F17" s="34"/>
      <c r="G17" s="35" t="s">
        <v>217</v>
      </c>
      <c r="H17" s="32" t="s">
        <v>148</v>
      </c>
      <c r="I17" s="35" t="s">
        <v>185</v>
      </c>
      <c r="J17" s="35"/>
      <c r="K17" s="38"/>
      <c r="L17" s="34"/>
    </row>
    <row r="18" spans="1:12" ht="75" customHeight="1">
      <c r="A18" s="11" t="s">
        <v>218</v>
      </c>
      <c r="B18" s="28" t="s">
        <v>142</v>
      </c>
      <c r="C18" s="29" t="s">
        <v>219</v>
      </c>
      <c r="D18" s="30" t="s">
        <v>220</v>
      </c>
      <c r="E18" s="31" t="s">
        <v>159</v>
      </c>
      <c r="F18" s="30"/>
      <c r="G18" s="31" t="s">
        <v>217</v>
      </c>
      <c r="H18" s="32" t="s">
        <v>148</v>
      </c>
      <c r="I18" s="31" t="s">
        <v>185</v>
      </c>
      <c r="J18" s="31"/>
      <c r="K18" s="38"/>
      <c r="L18" s="30"/>
    </row>
    <row r="19" spans="1:12" ht="75" customHeight="1">
      <c r="A19" s="18" t="s">
        <v>221</v>
      </c>
      <c r="B19" s="28" t="s">
        <v>142</v>
      </c>
      <c r="C19" s="33" t="s">
        <v>222</v>
      </c>
      <c r="D19" s="34" t="s">
        <v>223</v>
      </c>
      <c r="E19" s="35" t="s">
        <v>145</v>
      </c>
      <c r="F19" s="34"/>
      <c r="G19" s="35" t="s">
        <v>224</v>
      </c>
      <c r="H19" s="32" t="s">
        <v>148</v>
      </c>
      <c r="I19" s="35"/>
      <c r="J19" s="35"/>
      <c r="K19" s="38"/>
      <c r="L19" s="34" t="s">
        <v>225</v>
      </c>
    </row>
    <row r="20" spans="1:12" ht="75" customHeight="1">
      <c r="A20" s="11" t="s">
        <v>226</v>
      </c>
      <c r="B20" s="28" t="s">
        <v>142</v>
      </c>
      <c r="C20" s="29" t="s">
        <v>227</v>
      </c>
      <c r="D20" s="30" t="s">
        <v>228</v>
      </c>
      <c r="E20" s="31" t="s">
        <v>145</v>
      </c>
      <c r="F20" s="30"/>
      <c r="G20" s="31" t="s">
        <v>224</v>
      </c>
      <c r="H20" s="32" t="s">
        <v>148</v>
      </c>
      <c r="I20" s="31"/>
      <c r="J20" s="31"/>
      <c r="K20" s="38"/>
      <c r="L20" s="30"/>
    </row>
    <row r="21" spans="1:12" ht="75" customHeight="1">
      <c r="A21" s="18" t="s">
        <v>229</v>
      </c>
      <c r="B21" s="28" t="s">
        <v>142</v>
      </c>
      <c r="C21" s="33" t="s">
        <v>230</v>
      </c>
      <c r="D21" s="34" t="s">
        <v>231</v>
      </c>
      <c r="E21" s="35" t="s">
        <v>145</v>
      </c>
      <c r="F21" s="34"/>
      <c r="G21" s="35" t="s">
        <v>224</v>
      </c>
      <c r="H21" s="32" t="s">
        <v>148</v>
      </c>
      <c r="I21" s="35"/>
      <c r="J21" s="35"/>
      <c r="K21" s="38"/>
      <c r="L21" s="34"/>
    </row>
    <row r="22" spans="1:12" ht="75" customHeight="1">
      <c r="A22" s="11" t="s">
        <v>232</v>
      </c>
      <c r="B22" s="40" t="s">
        <v>233</v>
      </c>
      <c r="C22" s="41" t="s">
        <v>234</v>
      </c>
      <c r="D22" s="42" t="s">
        <v>235</v>
      </c>
      <c r="E22" s="43" t="s">
        <v>145</v>
      </c>
      <c r="F22" s="42" t="s">
        <v>236</v>
      </c>
      <c r="G22" s="43" t="s">
        <v>237</v>
      </c>
      <c r="H22" s="32" t="s">
        <v>148</v>
      </c>
      <c r="I22" s="43" t="s">
        <v>238</v>
      </c>
      <c r="J22" s="43"/>
      <c r="K22" s="36" t="s">
        <v>154</v>
      </c>
      <c r="L22" s="42" t="s">
        <v>239</v>
      </c>
    </row>
    <row r="23" spans="1:12" ht="75" customHeight="1">
      <c r="A23" s="18" t="s">
        <v>240</v>
      </c>
      <c r="B23" s="40" t="s">
        <v>233</v>
      </c>
      <c r="C23" s="44" t="s">
        <v>241</v>
      </c>
      <c r="D23" s="45" t="s">
        <v>242</v>
      </c>
      <c r="E23" s="46" t="s">
        <v>159</v>
      </c>
      <c r="F23" s="45" t="s">
        <v>243</v>
      </c>
      <c r="G23" s="46" t="s">
        <v>244</v>
      </c>
      <c r="H23" s="37" t="s">
        <v>172</v>
      </c>
      <c r="I23" s="46" t="s">
        <v>238</v>
      </c>
      <c r="J23" s="46" t="s">
        <v>245</v>
      </c>
      <c r="K23" s="16" t="s">
        <v>39</v>
      </c>
      <c r="L23" s="45" t="s">
        <v>246</v>
      </c>
    </row>
    <row r="24" spans="1:12" ht="75" customHeight="1">
      <c r="A24" s="11" t="s">
        <v>247</v>
      </c>
      <c r="B24" s="40" t="s">
        <v>233</v>
      </c>
      <c r="C24" s="41" t="s">
        <v>248</v>
      </c>
      <c r="D24" s="42" t="s">
        <v>249</v>
      </c>
      <c r="E24" s="43" t="s">
        <v>250</v>
      </c>
      <c r="F24" s="42" t="s">
        <v>251</v>
      </c>
      <c r="G24" s="43" t="s">
        <v>252</v>
      </c>
      <c r="H24" s="37" t="s">
        <v>172</v>
      </c>
      <c r="I24" s="43" t="s">
        <v>238</v>
      </c>
      <c r="J24" s="43" t="s">
        <v>253</v>
      </c>
      <c r="K24" s="38"/>
      <c r="L24" s="42"/>
    </row>
    <row r="25" spans="1:12" ht="75" customHeight="1">
      <c r="A25" s="18" t="s">
        <v>254</v>
      </c>
      <c r="B25" s="40" t="s">
        <v>233</v>
      </c>
      <c r="C25" s="44" t="s">
        <v>255</v>
      </c>
      <c r="D25" s="45" t="s">
        <v>256</v>
      </c>
      <c r="E25" s="46" t="s">
        <v>257</v>
      </c>
      <c r="F25" s="45" t="s">
        <v>258</v>
      </c>
      <c r="G25" s="46" t="s">
        <v>252</v>
      </c>
      <c r="H25" s="37" t="s">
        <v>172</v>
      </c>
      <c r="I25" s="46" t="s">
        <v>259</v>
      </c>
      <c r="J25" s="46" t="s">
        <v>260</v>
      </c>
      <c r="K25" s="38"/>
      <c r="L25" s="45"/>
    </row>
    <row r="26" spans="1:12" ht="75" customHeight="1">
      <c r="A26" s="11" t="s">
        <v>261</v>
      </c>
      <c r="B26" s="40" t="s">
        <v>233</v>
      </c>
      <c r="C26" s="41" t="s">
        <v>262</v>
      </c>
      <c r="D26" s="42" t="s">
        <v>263</v>
      </c>
      <c r="E26" s="43" t="s">
        <v>257</v>
      </c>
      <c r="F26" s="42" t="s">
        <v>251</v>
      </c>
      <c r="G26" s="43" t="s">
        <v>264</v>
      </c>
      <c r="H26" s="37" t="s">
        <v>172</v>
      </c>
      <c r="I26" s="43" t="s">
        <v>238</v>
      </c>
      <c r="J26" s="43" t="s">
        <v>265</v>
      </c>
      <c r="K26" s="38"/>
      <c r="L26" s="42"/>
    </row>
    <row r="27" spans="1:12" ht="75" customHeight="1">
      <c r="A27" s="18" t="s">
        <v>266</v>
      </c>
      <c r="B27" s="40" t="s">
        <v>233</v>
      </c>
      <c r="C27" s="44" t="s">
        <v>267</v>
      </c>
      <c r="D27" s="45" t="s">
        <v>268</v>
      </c>
      <c r="E27" s="46" t="s">
        <v>269</v>
      </c>
      <c r="F27" s="45" t="s">
        <v>251</v>
      </c>
      <c r="G27" s="46" t="s">
        <v>252</v>
      </c>
      <c r="H27" s="37" t="s">
        <v>172</v>
      </c>
      <c r="I27" s="46" t="s">
        <v>238</v>
      </c>
      <c r="J27" s="46" t="s">
        <v>260</v>
      </c>
      <c r="K27" s="38"/>
      <c r="L27" s="45" t="s">
        <v>270</v>
      </c>
    </row>
    <row r="28" spans="1:12" ht="75" customHeight="1">
      <c r="A28" s="11" t="s">
        <v>271</v>
      </c>
      <c r="B28" s="40" t="s">
        <v>233</v>
      </c>
      <c r="C28" s="41" t="s">
        <v>272</v>
      </c>
      <c r="D28" s="42" t="s">
        <v>273</v>
      </c>
      <c r="E28" s="43" t="s">
        <v>274</v>
      </c>
      <c r="F28" s="42" t="s">
        <v>275</v>
      </c>
      <c r="G28" s="43" t="s">
        <v>252</v>
      </c>
      <c r="H28" s="37" t="s">
        <v>172</v>
      </c>
      <c r="I28" s="43" t="s">
        <v>259</v>
      </c>
      <c r="J28" s="43"/>
      <c r="K28" s="38"/>
      <c r="L28" s="42" t="s">
        <v>276</v>
      </c>
    </row>
    <row r="29" spans="1:12" ht="75" customHeight="1">
      <c r="A29" s="18" t="s">
        <v>277</v>
      </c>
      <c r="B29" s="40" t="s">
        <v>233</v>
      </c>
      <c r="C29" s="44" t="s">
        <v>278</v>
      </c>
      <c r="D29" s="45" t="s">
        <v>279</v>
      </c>
      <c r="E29" s="46" t="s">
        <v>145</v>
      </c>
      <c r="F29" s="45" t="s">
        <v>275</v>
      </c>
      <c r="G29" s="46" t="s">
        <v>252</v>
      </c>
      <c r="H29" s="32" t="s">
        <v>148</v>
      </c>
      <c r="I29" s="46" t="s">
        <v>238</v>
      </c>
      <c r="J29" s="46"/>
      <c r="K29" s="38"/>
      <c r="L29" s="45" t="s">
        <v>280</v>
      </c>
    </row>
    <row r="30" spans="1:12" ht="75" customHeight="1">
      <c r="A30" s="11" t="s">
        <v>281</v>
      </c>
      <c r="B30" s="40" t="s">
        <v>233</v>
      </c>
      <c r="C30" s="41" t="s">
        <v>282</v>
      </c>
      <c r="D30" s="42" t="s">
        <v>283</v>
      </c>
      <c r="E30" s="43"/>
      <c r="F30" s="42" t="s">
        <v>275</v>
      </c>
      <c r="G30" s="43"/>
      <c r="H30" s="38"/>
      <c r="I30" s="43" t="s">
        <v>259</v>
      </c>
      <c r="J30" s="43"/>
      <c r="K30" s="38"/>
      <c r="L30" s="42"/>
    </row>
    <row r="31" spans="1:12" ht="75" customHeight="1">
      <c r="A31" s="18" t="s">
        <v>284</v>
      </c>
      <c r="B31" s="40" t="s">
        <v>233</v>
      </c>
      <c r="C31" s="44" t="s">
        <v>285</v>
      </c>
      <c r="D31" s="45" t="s">
        <v>286</v>
      </c>
      <c r="E31" s="46"/>
      <c r="F31" s="45"/>
      <c r="G31" s="46"/>
      <c r="H31" s="32" t="s">
        <v>148</v>
      </c>
      <c r="I31" s="46" t="s">
        <v>238</v>
      </c>
      <c r="J31" s="46"/>
      <c r="K31" s="38"/>
      <c r="L31" s="45"/>
    </row>
    <row r="32" spans="1:12" ht="75" customHeight="1">
      <c r="A32" s="11" t="s">
        <v>287</v>
      </c>
      <c r="B32" s="40" t="s">
        <v>233</v>
      </c>
      <c r="C32" s="41" t="s">
        <v>288</v>
      </c>
      <c r="D32" s="42" t="s">
        <v>289</v>
      </c>
      <c r="E32" s="43"/>
      <c r="F32" s="42"/>
      <c r="G32" s="43"/>
      <c r="H32" s="32" t="s">
        <v>148</v>
      </c>
      <c r="I32" s="43"/>
      <c r="J32" s="43"/>
      <c r="K32" s="38"/>
      <c r="L32" s="42"/>
    </row>
    <row r="33" spans="1:12" ht="75" customHeight="1">
      <c r="A33" s="18" t="s">
        <v>290</v>
      </c>
      <c r="B33" s="40" t="s">
        <v>233</v>
      </c>
      <c r="C33" s="44" t="s">
        <v>291</v>
      </c>
      <c r="D33" s="45" t="s">
        <v>292</v>
      </c>
      <c r="E33" s="46"/>
      <c r="F33" s="45"/>
      <c r="G33" s="46"/>
      <c r="H33" s="32" t="s">
        <v>148</v>
      </c>
      <c r="I33" s="46"/>
      <c r="J33" s="46"/>
      <c r="K33" s="38"/>
      <c r="L33" s="45"/>
    </row>
    <row r="34" spans="1:12" ht="75" customHeight="1">
      <c r="A34" s="11" t="s">
        <v>293</v>
      </c>
      <c r="B34" s="40" t="s">
        <v>233</v>
      </c>
      <c r="C34" s="41" t="s">
        <v>294</v>
      </c>
      <c r="D34" s="42" t="s">
        <v>295</v>
      </c>
      <c r="E34" s="43"/>
      <c r="F34" s="42"/>
      <c r="G34" s="43"/>
      <c r="H34" s="32" t="s">
        <v>148</v>
      </c>
      <c r="I34" s="43"/>
      <c r="J34" s="43"/>
      <c r="K34" s="38"/>
      <c r="L34" s="42"/>
    </row>
    <row r="35" spans="1:12" ht="75" customHeight="1">
      <c r="A35" s="18" t="s">
        <v>296</v>
      </c>
      <c r="B35" s="40" t="s">
        <v>233</v>
      </c>
      <c r="C35" s="44" t="s">
        <v>297</v>
      </c>
      <c r="D35" s="45" t="s">
        <v>298</v>
      </c>
      <c r="E35" s="46"/>
      <c r="F35" s="45"/>
      <c r="G35" s="46"/>
      <c r="H35" s="38"/>
      <c r="I35" s="46"/>
      <c r="J35" s="46"/>
      <c r="K35" s="38"/>
      <c r="L35" s="45"/>
    </row>
    <row r="37" spans="1:12" ht="24" customHeight="1">
      <c r="A37" s="22" t="s">
        <v>124</v>
      </c>
      <c r="B37" s="22"/>
      <c r="C37" s="22">
        <f>COUNTA(A4:A35)&amp;" tasks"</f>
        <v>0</v>
      </c>
      <c r="D37" s="22">
        <f>COUNTIF(B4:B35,"Backlog FPTvn")&amp;" FPTvn | "&amp;COUNTIF(B4:B35,"Roadmap 18.5")&amp;" Roadmap"</f>
        <v>0</v>
      </c>
      <c r="E37" s="22"/>
      <c r="F37" s="22"/>
      <c r="G37" s="22"/>
      <c r="H37" s="22"/>
      <c r="I37" s="22"/>
      <c r="J37" s="22"/>
      <c r="K37" s="22">
        <f>COUNTIF(K4:K35,"In Progress")&amp;" In Progress | "&amp;COUNTIF(K4:K35,"To Do")&amp;" To Do"</f>
        <v>0</v>
      </c>
      <c r="L37" s="22"/>
    </row>
  </sheetData>
  <mergeCells count="2">
    <mergeCell ref="A1:L1"/>
    <mergeCell ref="A37:B37"/>
  </mergeCells>
  <hyperlinks>
    <hyperlink ref="F4" r:id="rId1"/>
    <hyperlink ref="F5" r:id="rId2"/>
    <hyperlink ref="F6" r:id="rId3"/>
    <hyperlink ref="F15" r:id="rId4"/>
    <hyperlink ref="F16" r:id="rId5"/>
    <hyperlink ref="F23" r:id="rId6"/>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G9"/>
  <sheetViews>
    <sheetView showGridLines="0" workbookViewId="0">
      <pane ySplit="2" topLeftCell="A3" activePane="bottomLeft" state="frozen"/>
      <selection pane="bottomLeft"/>
    </sheetView>
  </sheetViews>
  <sheetFormatPr defaultRowHeight="15"/>
  <cols>
    <col min="1" max="1" width="16.7109375" customWidth="1"/>
    <col min="2" max="2" width="10.7109375" customWidth="1"/>
    <col min="3" max="4" width="14.7109375" customWidth="1"/>
    <col min="5" max="5" width="30.7109375" customWidth="1"/>
    <col min="6" max="6" width="10.7109375" customWidth="1"/>
    <col min="7" max="7" width="45.7109375" customWidth="1"/>
  </cols>
  <sheetData>
    <row r="1" spans="1:7" ht="30" customHeight="1">
      <c r="A1" s="8" t="s">
        <v>299</v>
      </c>
      <c r="B1" s="8"/>
      <c r="C1" s="8"/>
      <c r="D1" s="8"/>
      <c r="E1" s="8"/>
      <c r="F1" s="8"/>
      <c r="G1" s="8"/>
    </row>
    <row r="2" spans="1:7" ht="24" customHeight="1">
      <c r="A2" s="47" t="s">
        <v>30</v>
      </c>
      <c r="B2" s="47" t="s">
        <v>300</v>
      </c>
      <c r="C2" s="47" t="s">
        <v>301</v>
      </c>
      <c r="D2" s="47" t="s">
        <v>302</v>
      </c>
      <c r="E2" s="47" t="s">
        <v>303</v>
      </c>
      <c r="F2" s="47" t="s">
        <v>304</v>
      </c>
      <c r="G2" s="47" t="s">
        <v>305</v>
      </c>
    </row>
    <row r="3" spans="1:7" ht="40" customHeight="1">
      <c r="A3" s="4" t="s">
        <v>38</v>
      </c>
      <c r="B3" s="10" t="s">
        <v>306</v>
      </c>
      <c r="C3" s="10" t="s">
        <v>9</v>
      </c>
      <c r="D3" s="10" t="s">
        <v>307</v>
      </c>
      <c r="E3" s="13" t="s">
        <v>308</v>
      </c>
      <c r="F3" s="11" t="s">
        <v>309</v>
      </c>
      <c r="G3" s="13" t="s">
        <v>310</v>
      </c>
    </row>
    <row r="4" spans="1:7" ht="40" customHeight="1">
      <c r="A4" s="48" t="s">
        <v>56</v>
      </c>
      <c r="B4" s="49" t="s">
        <v>306</v>
      </c>
      <c r="C4" s="49" t="s">
        <v>311</v>
      </c>
      <c r="D4" s="49" t="s">
        <v>312</v>
      </c>
      <c r="E4" s="50" t="s">
        <v>313</v>
      </c>
      <c r="F4" s="51" t="s">
        <v>314</v>
      </c>
      <c r="G4" s="50" t="s">
        <v>315</v>
      </c>
    </row>
    <row r="5" spans="1:7" ht="40" customHeight="1">
      <c r="A5" s="4" t="s">
        <v>75</v>
      </c>
      <c r="B5" s="10" t="s">
        <v>306</v>
      </c>
      <c r="C5" s="10" t="s">
        <v>316</v>
      </c>
      <c r="D5" s="10" t="s">
        <v>317</v>
      </c>
      <c r="E5" s="13" t="s">
        <v>318</v>
      </c>
      <c r="F5" s="11" t="s">
        <v>314</v>
      </c>
      <c r="G5" s="13" t="s">
        <v>319</v>
      </c>
    </row>
    <row r="6" spans="1:7" ht="40" customHeight="1">
      <c r="A6" s="48" t="s">
        <v>94</v>
      </c>
      <c r="B6" s="49" t="s">
        <v>306</v>
      </c>
      <c r="C6" s="49" t="s">
        <v>191</v>
      </c>
      <c r="D6" s="49" t="s">
        <v>320</v>
      </c>
      <c r="E6" s="50" t="s">
        <v>321</v>
      </c>
      <c r="F6" s="51" t="s">
        <v>322</v>
      </c>
      <c r="G6" s="50" t="s">
        <v>323</v>
      </c>
    </row>
    <row r="7" spans="1:7" ht="40" customHeight="1">
      <c r="A7" s="4" t="s">
        <v>123</v>
      </c>
      <c r="B7" s="10" t="s">
        <v>324</v>
      </c>
      <c r="C7" s="10" t="s">
        <v>324</v>
      </c>
      <c r="D7" s="10" t="s">
        <v>324</v>
      </c>
      <c r="E7" s="13" t="s">
        <v>119</v>
      </c>
      <c r="F7" s="11" t="s">
        <v>325</v>
      </c>
      <c r="G7" s="13" t="s">
        <v>326</v>
      </c>
    </row>
    <row r="9" spans="1:7" ht="26" customHeight="1">
      <c r="A9" s="22" t="s">
        <v>327</v>
      </c>
      <c r="B9" s="22"/>
      <c r="C9" s="22"/>
      <c r="D9" s="22"/>
      <c r="E9" s="22"/>
      <c r="F9" s="22" t="s">
        <v>328</v>
      </c>
      <c r="G9" s="22" t="s">
        <v>329</v>
      </c>
    </row>
  </sheetData>
  <mergeCells count="2">
    <mergeCell ref="A1:G1"/>
    <mergeCell ref="A9:E9"/>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9"/>
  <sheetViews>
    <sheetView showGridLines="0" workbookViewId="0"/>
  </sheetViews>
  <sheetFormatPr defaultRowHeight="15"/>
  <cols>
    <col min="1" max="1" width="6.7109375" customWidth="1"/>
    <col min="2" max="2" width="70.7109375" customWidth="1"/>
    <col min="3" max="3" width="20.7109375" customWidth="1"/>
  </cols>
  <sheetData>
    <row r="1" spans="1:3" ht="30" customHeight="1">
      <c r="A1" s="8" t="s">
        <v>330</v>
      </c>
      <c r="B1" s="8"/>
      <c r="C1" s="8"/>
    </row>
    <row r="2" spans="1:3" ht="22" customHeight="1">
      <c r="A2" s="9" t="s">
        <v>22</v>
      </c>
      <c r="B2" s="9" t="s">
        <v>331</v>
      </c>
      <c r="C2" s="9" t="s">
        <v>332</v>
      </c>
    </row>
    <row r="3" spans="1:3" ht="26" customHeight="1">
      <c r="A3" s="26" t="s">
        <v>333</v>
      </c>
      <c r="B3" s="52" t="s">
        <v>334</v>
      </c>
      <c r="C3" s="53" t="s">
        <v>335</v>
      </c>
    </row>
    <row r="4" spans="1:3" ht="26" customHeight="1">
      <c r="A4" s="26" t="s">
        <v>336</v>
      </c>
      <c r="B4" s="13" t="s">
        <v>337</v>
      </c>
      <c r="C4" s="54" t="s">
        <v>338</v>
      </c>
    </row>
    <row r="5" spans="1:3" ht="26" customHeight="1">
      <c r="A5" s="26" t="s">
        <v>339</v>
      </c>
      <c r="B5" s="52" t="s">
        <v>340</v>
      </c>
      <c r="C5" s="53" t="s">
        <v>341</v>
      </c>
    </row>
    <row r="6" spans="1:3" ht="26" customHeight="1">
      <c r="A6" s="26" t="s">
        <v>342</v>
      </c>
      <c r="B6" s="13" t="s">
        <v>343</v>
      </c>
      <c r="C6" s="54" t="s">
        <v>344</v>
      </c>
    </row>
    <row r="7" spans="1:3" ht="26" customHeight="1">
      <c r="A7" s="26" t="s">
        <v>345</v>
      </c>
      <c r="B7" s="52" t="s">
        <v>346</v>
      </c>
      <c r="C7" s="53" t="s">
        <v>347</v>
      </c>
    </row>
    <row r="8" spans="1:3" ht="26" customHeight="1">
      <c r="A8" s="26" t="s">
        <v>348</v>
      </c>
      <c r="B8" s="13" t="s">
        <v>349</v>
      </c>
      <c r="C8" s="54" t="s">
        <v>350</v>
      </c>
    </row>
    <row r="9" spans="1:3" ht="26" customHeight="1">
      <c r="A9" s="26" t="s">
        <v>351</v>
      </c>
      <c r="B9" s="52" t="s">
        <v>352</v>
      </c>
      <c r="C9" s="53" t="s">
        <v>353</v>
      </c>
    </row>
  </sheetData>
  <mergeCells count="1">
    <mergeCell ref="A1:C1"/>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L10"/>
  <sheetViews>
    <sheetView showGridLines="0" workbookViewId="0"/>
  </sheetViews>
  <sheetFormatPr defaultRowHeight="15"/>
  <cols>
    <col min="1" max="12" width="7.7109375" customWidth="1"/>
  </cols>
  <sheetData>
    <row r="1" spans="1:12" ht="30" customHeight="1">
      <c r="A1" s="8" t="s">
        <v>354</v>
      </c>
      <c r="B1" s="8"/>
      <c r="C1" s="8"/>
      <c r="D1" s="8"/>
      <c r="E1" s="8"/>
      <c r="F1" s="8"/>
      <c r="G1" s="8"/>
      <c r="H1" s="8"/>
      <c r="I1" s="8"/>
      <c r="J1" s="8"/>
      <c r="K1" s="8"/>
      <c r="L1" s="8"/>
    </row>
    <row r="2" spans="1:12" ht="26" customHeight="1">
      <c r="A2" s="55" t="s">
        <v>39</v>
      </c>
      <c r="B2" s="55"/>
      <c r="C2" s="55"/>
      <c r="D2" s="56" t="s">
        <v>154</v>
      </c>
      <c r="E2" s="56"/>
      <c r="F2" s="56"/>
      <c r="G2" s="57" t="s">
        <v>361</v>
      </c>
      <c r="H2" s="57"/>
      <c r="I2" s="57"/>
      <c r="J2" s="58" t="s">
        <v>362</v>
      </c>
      <c r="K2" s="58"/>
      <c r="L2" s="58"/>
    </row>
    <row r="3" spans="1:12" ht="50" customHeight="1">
      <c r="A3" s="59" t="s">
        <v>355</v>
      </c>
      <c r="B3" s="59"/>
      <c r="C3" s="59"/>
      <c r="D3" s="60"/>
      <c r="E3" s="60"/>
      <c r="F3" s="60"/>
      <c r="G3" s="61"/>
      <c r="H3" s="61"/>
      <c r="I3" s="61"/>
      <c r="J3" s="62"/>
      <c r="K3" s="62"/>
      <c r="L3" s="62"/>
    </row>
    <row r="4" spans="1:12" ht="50" customHeight="1">
      <c r="A4" s="59" t="s">
        <v>356</v>
      </c>
      <c r="B4" s="59"/>
      <c r="C4" s="59"/>
      <c r="D4" s="60"/>
      <c r="E4" s="60"/>
      <c r="F4" s="60"/>
      <c r="G4" s="61"/>
      <c r="H4" s="61"/>
      <c r="I4" s="61"/>
      <c r="J4" s="62"/>
      <c r="K4" s="62"/>
      <c r="L4" s="62"/>
    </row>
    <row r="5" spans="1:12" ht="50" customHeight="1">
      <c r="A5" s="59" t="s">
        <v>357</v>
      </c>
      <c r="B5" s="59"/>
      <c r="C5" s="59"/>
      <c r="D5" s="60"/>
      <c r="E5" s="60"/>
      <c r="F5" s="60"/>
      <c r="G5" s="61"/>
      <c r="H5" s="61"/>
      <c r="I5" s="61"/>
      <c r="J5" s="62"/>
      <c r="K5" s="62"/>
      <c r="L5" s="62"/>
    </row>
    <row r="6" spans="1:12" ht="50" customHeight="1">
      <c r="A6" s="59" t="s">
        <v>358</v>
      </c>
      <c r="B6" s="59"/>
      <c r="C6" s="59"/>
      <c r="D6" s="60"/>
      <c r="E6" s="60"/>
      <c r="F6" s="60"/>
      <c r="G6" s="61"/>
      <c r="H6" s="61"/>
      <c r="I6" s="61"/>
      <c r="J6" s="62"/>
      <c r="K6" s="62"/>
      <c r="L6" s="62"/>
    </row>
    <row r="7" spans="1:12" ht="50" customHeight="1">
      <c r="A7" s="59" t="s">
        <v>359</v>
      </c>
      <c r="B7" s="59"/>
      <c r="C7" s="59"/>
      <c r="D7" s="60"/>
      <c r="E7" s="60"/>
      <c r="F7" s="60"/>
      <c r="G7" s="61"/>
      <c r="H7" s="61"/>
      <c r="I7" s="61"/>
      <c r="J7" s="62"/>
      <c r="K7" s="62"/>
      <c r="L7" s="62"/>
    </row>
    <row r="8" spans="1:12" ht="50" customHeight="1">
      <c r="A8" s="59" t="s">
        <v>360</v>
      </c>
      <c r="B8" s="59"/>
      <c r="C8" s="59"/>
      <c r="D8" s="60"/>
      <c r="E8" s="60"/>
      <c r="F8" s="60"/>
      <c r="G8" s="61"/>
      <c r="H8" s="61"/>
      <c r="I8" s="61"/>
      <c r="J8" s="62"/>
      <c r="K8" s="62"/>
      <c r="L8" s="62"/>
    </row>
    <row r="9" spans="1:12" ht="50" customHeight="1">
      <c r="A9" s="63"/>
      <c r="B9" s="63"/>
      <c r="C9" s="63"/>
      <c r="D9" s="60"/>
      <c r="E9" s="60"/>
      <c r="F9" s="60"/>
      <c r="G9" s="61"/>
      <c r="H9" s="61"/>
      <c r="I9" s="61"/>
      <c r="J9" s="62"/>
      <c r="K9" s="62"/>
      <c r="L9" s="62"/>
    </row>
    <row r="10" spans="1:12" ht="50" customHeight="1">
      <c r="A10" s="63"/>
      <c r="B10" s="63"/>
      <c r="C10" s="63"/>
      <c r="D10" s="60"/>
      <c r="E10" s="60"/>
      <c r="F10" s="60"/>
      <c r="G10" s="61"/>
      <c r="H10" s="61"/>
      <c r="I10" s="61"/>
      <c r="J10" s="62"/>
      <c r="K10" s="62"/>
      <c r="L10" s="62"/>
    </row>
  </sheetData>
  <mergeCells count="37">
    <mergeCell ref="A1:L1"/>
    <mergeCell ref="A2:C2"/>
    <mergeCell ref="A3:C3"/>
    <mergeCell ref="A4:C4"/>
    <mergeCell ref="A5:C5"/>
    <mergeCell ref="A6:C6"/>
    <mergeCell ref="A7:C7"/>
    <mergeCell ref="A8:C8"/>
    <mergeCell ref="A9:C9"/>
    <mergeCell ref="A10:C10"/>
    <mergeCell ref="D2:F2"/>
    <mergeCell ref="D3:F3"/>
    <mergeCell ref="D4:F4"/>
    <mergeCell ref="D5:F5"/>
    <mergeCell ref="D6:F6"/>
    <mergeCell ref="D7:F7"/>
    <mergeCell ref="D8:F8"/>
    <mergeCell ref="D9:F9"/>
    <mergeCell ref="D10:F10"/>
    <mergeCell ref="G2:I2"/>
    <mergeCell ref="G3:I3"/>
    <mergeCell ref="G4:I4"/>
    <mergeCell ref="G5:I5"/>
    <mergeCell ref="G6:I6"/>
    <mergeCell ref="G7:I7"/>
    <mergeCell ref="G8:I8"/>
    <mergeCell ref="G9:I9"/>
    <mergeCell ref="G10:I10"/>
    <mergeCell ref="J2:L2"/>
    <mergeCell ref="J3:L3"/>
    <mergeCell ref="J4:L4"/>
    <mergeCell ref="J5:L5"/>
    <mergeCell ref="J6:L6"/>
    <mergeCell ref="J7:L7"/>
    <mergeCell ref="J8:L8"/>
    <mergeCell ref="J9:L9"/>
    <mergeCell ref="J10:L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 Cover</vt:lpstr>
      <vt:lpstr>📌 Product Backlog</vt:lpstr>
      <vt:lpstr>🔄 Vận hành</vt:lpstr>
      <vt:lpstr>🗓 Sprint Planning</vt:lpstr>
      <vt:lpstr>✅ Definition of Done</vt:lpstr>
      <vt:lpstr>🗂 Kanban Board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2026-06-26T02:27:55Z</dcterms:created>
  <dcterms:modified xsi:type="dcterms:W3CDTF">2026-06-26T02:27:55Z</dcterms:modified>
</cp:coreProperties>
</file>