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_Config" sheetId="1" r:id="rId1"/>
    <sheet name="📋 Cover" sheetId="2" r:id="rId2"/>
    <sheet name="📌 Product Backlog" sheetId="3" r:id="rId3"/>
    <sheet name="✅ Definition of Done" sheetId="4" r:id="rId4"/>
  </sheets>
  <calcPr calcId="124519" fullCalcOnLoad="1"/>
</workbook>
</file>

<file path=xl/sharedStrings.xml><?xml version="1.0" encoding="utf-8"?>
<sst xmlns="http://schemas.openxmlformats.org/spreadsheetml/2006/main" count="336" uniqueCount="231">
  <si>
    <t>Chưa tiếp nhận yêu cầu</t>
  </si>
  <si>
    <t>Đã tiếp nhận yêu cầu</t>
  </si>
  <si>
    <t>Đang phân tích</t>
  </si>
  <si>
    <t>Đang trao đổi PBLQ</t>
  </si>
  <si>
    <t>Đã bàn giao ISC</t>
  </si>
  <si>
    <t>In Progress DEV</t>
  </si>
  <si>
    <t>UAT</t>
  </si>
  <si>
    <t>Done</t>
  </si>
  <si>
    <t>PRODUCT BACKLOG — FPT TELECOM</t>
  </si>
  <si>
    <t>Hệ thống FPT.vn / HiFPT  |  Đội Product</t>
  </si>
  <si>
    <t>Đơn vị</t>
  </si>
  <si>
    <t>FPT Telecom — Đội Product</t>
  </si>
  <si>
    <t>Hệ thống</t>
  </si>
  <si>
    <t>FPT.vn / HiFPT</t>
  </si>
  <si>
    <t>Nguồn data</t>
  </si>
  <si>
    <t>Backlog FPTvn + Roadmap 18.5</t>
  </si>
  <si>
    <t>Ngày tạo</t>
  </si>
  <si>
    <t>28/06/2026</t>
  </si>
  <si>
    <t>Author</t>
  </si>
  <si>
    <t>Product Owner / BA</t>
  </si>
  <si>
    <t>Trạng thái</t>
  </si>
  <si>
    <t>Draft v1.1</t>
  </si>
  <si>
    <t>Tổng Task Backlog</t>
  </si>
  <si>
    <t>Tổng SP</t>
  </si>
  <si>
    <t>Backlog FPTvn</t>
  </si>
  <si>
    <t>Roadmap 18.5</t>
  </si>
  <si>
    <t>Chưa tiếp nhận</t>
  </si>
  <si>
    <t>Đã tiếp nhận</t>
  </si>
  <si>
    <t>Đang phân tích / Trao đổi</t>
  </si>
  <si>
    <t>Đã bàn giao ISC / DEV</t>
  </si>
  <si>
    <t>* Các ô màu cam tự động cập nhật khi thêm/sửa dữ liệu. Cột Trạng thái có trình thả xuống — chọn từ danh sách 8 giai đoạn.</t>
  </si>
  <si>
    <t>PRODUCT BACKLOG — FPT TELECOM  |  FPT.vn &amp; HiFPT  |  Loại trừ: Done</t>
  </si>
  <si>
    <t>#</t>
  </si>
  <si>
    <t>ID</t>
  </si>
  <si>
    <t>Epic
(để trống)</t>
  </si>
  <si>
    <t>Epic Name
(Sản phẩm)</t>
  </si>
  <si>
    <t>US Title
(Đầu mục công việc)</t>
  </si>
  <si>
    <t>User Story
(thuần Việt)</t>
  </si>
  <si>
    <t>Acceptance Criteria
(CHO TRƯỚC / KHI / THÌ)</t>
  </si>
  <si>
    <t>SP</t>
  </si>
  <si>
    <t>Timeline
mong muốn</t>
  </si>
  <si>
    <t>Timeline
ISC</t>
  </si>
  <si>
    <t>PIC
(BA)</t>
  </si>
  <si>
    <t>Trạng thái ▼</t>
  </si>
  <si>
    <t>Nguồn</t>
  </si>
  <si>
    <t>Ghi chú</t>
  </si>
  <si>
    <t>BF-001</t>
  </si>
  <si>
    <t>Camera</t>
  </si>
  <si>
    <t>Hiển thị giá Cloud Camera theo gói buffet</t>
  </si>
  <si>
    <t>Là khách hàng mua Camera FPT, tôi muốn xem giá cloud hiển thị dạng gói buffet (50.000đ/tháng) thay vì chia theo số mắt camera, để dễ so sánh và quyết định mua.</t>
  </si>
  <si>
    <t>CHO TRƯỚC tôi ở trang thanh toán Camera
KHI tôi xem phần chọn gói cloud
THÌ giá hiển thị 50.000đ/tháng dạng buffet, không chia theo từng mắt camera</t>
  </si>
  <si>
    <t>15/04</t>
  </si>
  <si>
    <t>Nhờ Hà check với chị Linh</t>
  </si>
  <si>
    <t>BF-002</t>
  </si>
  <si>
    <t>Cập nhật giao diện thanh toán Camera – gói cloud 3D buffet</t>
  </si>
  <si>
    <t>Là khách hàng mua Camera FPT, tôi muốn giao diện trang thanh toán hiển thị đúng gói cloud (bỏ nhãn 'x5') và ẩn phí lắp đặt khi chọn tự lắp, để tránh nhầm lẫn và tăng tỷ lệ chuyển đổi.</t>
  </si>
  <si>
    <t>CHO TRƯỚC tôi ở trang thanh toán Camera
KHI tôi chọn gói cloud 3D buffet 6 tháng
THÌ nhãn 'x5' không hiển thị
CHO TRƯỚC tôi chọn hình thức Tự lắp đặt
THÌ dòng phí lắp đặt bị ẩn hoàn toàn</t>
  </si>
  <si>
    <t>Đang làm việc với chính sách</t>
  </si>
  <si>
    <t>BF-003</t>
  </si>
  <si>
    <t>Internet</t>
  </si>
  <si>
    <t>Cập nhật trang địa phương theo giao diện mới</t>
  </si>
  <si>
    <t>Là quản trị viên nội dung CMS, tôi muốn các trang địa phương (/lap-internet-wifi-hcm…) được chuyển sang nền tảng UI mới để thêm/chỉnh sửa section linh hoạt, chuẩn hoá breadcrumb và Heading 1.</t>
  </si>
  <si>
    <t>CHO TRƯỚC tôi đăng nhập CMS
KHI tôi mở trang địa phương /lap-internet-wifi-[tinh]
THÌ giao diện mới hiển thị và tôi có thể thêm section mới
CHO TRƯỚC tôi lưu thay đổi
THÌ nội dung hiển thị đúng trên FE, không lỗi layout</t>
  </si>
  <si>
    <t>24/04</t>
  </si>
  <si>
    <t>BF-004</t>
  </si>
  <si>
    <t>Luồng nâng cấp 5 dịch vụ trên FPT.vn</t>
  </si>
  <si>
    <t>Là khách hàng FPT đang sử dụng dịch vụ, tôi muốn nâng cấp các dịch vụ (VVIP, Camera, AP, băng thông, wifi6) trực tiếp trên FPT.vn, để hoàn tất nâng cấp mà không cần gọi tổng đài.</t>
  </si>
  <si>
    <t>CHO TRƯỚC tôi đăng nhập tài khoản FPT
KHI tôi vào trang /nang-cap
THÌ hiển thị 5 dịch vụ có thể nâng cấp kèm giá
KHI tôi chọn nâng cấp và xác nhận
THÌ đơn hàng được tạo và tôi nhận thông báo xác nhận</t>
  </si>
  <si>
    <t>BF-005</t>
  </si>
  <si>
    <t>LDP FCM</t>
  </si>
  <si>
    <t>Là khách hàng tiềm năng sử dụng FCM, tôi muốn truy cập trang landing page FCM đầy đủ thông tin gói cước và nút đăng ký, để đăng ký dịch vụ nhanh chóng.</t>
  </si>
  <si>
    <t>CHO TRƯỚC tôi truy cập URL LDP FCM
KHI trang tải xong
THÌ hiển thị đầy đủ thông tin gói cước, hình ảnh và nút CTA
KHI tôi nhấn đăng ký
THÌ điều hướng đúng đến luồng mua</t>
  </si>
  <si>
    <t>22/5 golive 2 LDP</t>
  </si>
  <si>
    <t>BF-006</t>
  </si>
  <si>
    <t>CMS Tổng đài wifi – 5 mẫu LDP</t>
  </si>
  <si>
    <t>Là người quản trị nội dung, tôi muốn có 5 mẫu Landing Page cho tổng đài wifi trên CMS, để team content tự thiết kế và triển khai campaign mà không cần lập trình viên.</t>
  </si>
  <si>
    <t>CHO TRƯỚC tôi đăng nhập CMS
KHI tôi chọn Tạo LDP mới
THÌ có 5 mẫu template sẵn để chọn
KHI tôi publish LDP
THÌ trang hiển thị đúng trên FE</t>
  </si>
  <si>
    <t>BF-007</t>
  </si>
  <si>
    <t>Bổ sung luồng giao hàng Camera trong LDP nâng cấp</t>
  </si>
  <si>
    <t>Là khách hàng nâng cấp Camera FPT, tôi muốn có tùy chọn giao hàng Camera trong luồng nâng cấp trên LDP, để hoàn tất đơn nâng cấp và nhận thiết bị mà không cần liên hệ riêng.</t>
  </si>
  <si>
    <t>CHO TRƯỚC tôi ở LDP nâng cấp Camera
KHI tôi chọn gói nâng cấp
THÌ xuất hiện tùy chọn Giao hàng tận nơi hoặc Tự lắp đặt
KHI tôi chọn giao hàng và điền địa chỉ
THÌ đơn hàng xác nhận với thông tin giao hàng đầy đủ</t>
  </si>
  <si>
    <t>26/05</t>
  </si>
  <si>
    <t>BF-008</t>
  </si>
  <si>
    <t>LDP FCitizen – trang dành riêng cho FPTers</t>
  </si>
  <si>
    <t>Là nhân viên FPT (FPTer), tôi muốn truy cập trang landing page riêng cho FCitizen hiển thị gói cước ưu đãi và quy trình đăng ký nội bộ, để đăng ký dịch vụ với mức giá ưu đãi dành riêng.</t>
  </si>
  <si>
    <t>CHO TRƯỚC tôi truy cập trang FCitizen
KHI tôi chưa xác thực là FPTer
THÌ hệ thống yêu cầu xác thực email @fpt.com.vn
KHI xác thực thành công
THÌ hiển thị các gói cước ưu đãi dành riêng cho FPTers</t>
  </si>
  <si>
    <t>Chờ FTQ phản hồi quy trình bán gói</t>
  </si>
  <si>
    <t>BF-009</t>
  </si>
  <si>
    <t>Exit-intent popup trang Camera</t>
  </si>
  <si>
    <t>Là khách hàng đang rời trang Camera FPT, tôi muốn thấy popup ưu đãi cuối cùng trước khi thoát trang, để có thêm cơ hội xem ưu đãi và quyết định đăng ký.</t>
  </si>
  <si>
    <t>CHO TRƯỚC tôi đang xem trang /camera trên máy tính
KHI con trỏ di chuyển ra phía thanh điều hướng trình duyệt
THÌ popup exit-intent xuất hiện sau 300ms
CHO TRƯỚC tôi dùng điện thoại
KHI tôi scroll lên nhanh
THÌ popup hiện; chỉ hiện tối đa 1 lần/phiên</t>
  </si>
  <si>
    <t>06/08/2026</t>
  </si>
  <si>
    <t>BF-010</t>
  </si>
  <si>
    <t>Tích hợp API Giá Vàng &amp; Điểm thi Đại học</t>
  </si>
  <si>
    <t>Là người dùng FPT.vn, tôi muốn xem thông tin giá vàng SJC/9999 và điểm thi đại học theo thời gian thực ngay trên website, để tra cứu nhanh mà không cần rời trang.</t>
  </si>
  <si>
    <t>CHO TRƯỚC widget giá vàng được kích hoạt
KHI tôi mở trang chứa widget
THÌ dữ liệu giá vàng cập nhật trong vòng 5 phút
CHO TRƯỚC API ngừng hoạt động
THÌ widget hiển thị Đang cập nhật thay vì báo lỗi</t>
  </si>
  <si>
    <t>06/06/2026</t>
  </si>
  <si>
    <t>Không ưu tiên giai đoạn này</t>
  </si>
  <si>
    <t>BF-011</t>
  </si>
  <si>
    <t>Trang Author Profile Chuyên gia Camera FPT</t>
  </si>
  <si>
    <t>Là khách hàng tìm hiểu Camera FPT, tôi muốn xem trang giới thiệu chuyên gia kỹ thuật (ảnh, tên, chức vụ, chứng chỉ), để tin tưởng hơn vào chất lượng sản phẩm và dịch vụ.</t>
  </si>
  <si>
    <t>CHO TRƯỚC tôi truy cập /tac-gia/chuyen-gia-ky-thuat
KHI trang tải xong
THÌ hiển thị 3–5 thẻ profile chuyên gia với ảnh thực, tên, chức vụ và chứng chỉ
CHO TRƯỚC trang được lập index SEO
THÌ có schema markup dạng Person</t>
  </si>
  <si>
    <t>19/06</t>
  </si>
  <si>
    <t>BF-012</t>
  </si>
  <si>
    <t>Internet/SA</t>
  </si>
  <si>
    <t>LDP Ngoại Hạng Anh (NHA)</t>
  </si>
  <si>
    <t>Là người hâm mộ bóng đá dùng gói SA Play FPT, tôi muốn truy cập trang tổng hợp NHA xem kết quả và bảng xếp hạng cập nhật tự động, để theo dõi giải đấu mà không cần tìm nhiều nơi.</t>
  </si>
  <si>
    <t>CHO TRƯỚC tôi truy cập /ngoai-hang-anh
KHI trang tải xong
THÌ hiển thị bảng xếp hạng và kết quả trận đấu gần nhất từ API
CHO TRƯỚC tỷ số thay đổi sau trận
THÌ dữ liệu tự cập nhật trong vòng 30 phút</t>
  </si>
  <si>
    <t>20/06/2026</t>
  </si>
  <si>
    <t>BF-013</t>
  </si>
  <si>
    <t>Video Hub – Block video tự động từ FPT Play</t>
  </si>
  <si>
    <t>Là người dùng FPT.vn quan tâm nội dung thể thao, tôi muốn xem block video Recap/Highlight tự động cập nhật từ YouTube FPT Play ngay trên website, để không cần chuyển sang YouTube.</t>
  </si>
  <si>
    <t>CHO TRƯỚC block Video Hub được nhúng vào trang
KHI tôi mở trang
THÌ hiển thị tối đa 6 video mới nhất từ YouTube FPT Play
KHI tôi nhấn vào video
THÌ phát inline, không chuyển trang; video lazy-load không ảnh hưởng LCP</t>
  </si>
  <si>
    <t>27/06/2026</t>
  </si>
  <si>
    <t>BF-014</t>
  </si>
  <si>
    <t>Bảng giá gói cước theo ID trên trang tin tức</t>
  </si>
  <si>
    <t>Là người quản trị nội dung, tôi muốn gắn thành phần bảng giá gói cước theo ID vào bài viết, để giá hiển thị tự động cập nhật theo hệ thống mà không cần chỉnh sửa thủ công từng bài.</t>
  </si>
  <si>
    <t>CHO TRƯỚC tôi chèn shortcode [goi-cuoc id=X] vào bài viết CMS
KHI trang tin tức tải
THÌ hiển thị đúng tên gói, giá và mô tả ngắn từ hệ thống
KHI gói cước thay đổi giá trong hệ thống
THÌ bài viết tự động hiển thị giá mới</t>
  </si>
  <si>
    <t>03/06/2026</t>
  </si>
  <si>
    <t>BF-015</t>
  </si>
  <si>
    <t>Banner thay đổi nhanh bằng shortcode trên trang tin tức</t>
  </si>
  <si>
    <t>Là người quản trị nội dung, tôi muốn thay đổi banner khuyến mại trong bài viết tin tức bằng shortcode thay vì chỉnh từng bài, để cập nhật nhanh khi chương trình kết thúc.</t>
  </si>
  <si>
    <t>CHO TRƯỚC tôi chèn shortcode banner vào bài viết
KHI chương trình khuyến mại kết thúc
THÌ tôi chỉ cần cập nhật 1 nơi và tất cả bài dùng shortcode đó tự cập nhật
CHO TRƯỚC shortcode được cấu hình
THÌ banner hỗ trợ ảnh và link điều hướng</t>
  </si>
  <si>
    <t>BF-016</t>
  </si>
  <si>
    <t>Luồng LDP Nâng cấp Cam 200K – tối ưu thanh toán</t>
  </si>
  <si>
    <t>Là khách hàng Camera FPT muốn nâng cấp lên gói 200K, tôi muốn hoàn tất thanh toán ngay trên FPT.vn mà không bị chuyển hướng ra ngoài hoặc gặp lỗi, để việc nâng cấp diễn ra liền mạch.</t>
  </si>
  <si>
    <t>CHO TRƯỚC tôi ở LDP nâng cấp Camera
KHI tôi chọn gói 200K và nhấn thanh toán
THÌ không bị chuyển hướng sang trang ngoài
KHI thanh toán thành công
THÌ hiển thị trang xác nhận với thông tin đơn hàng và thời gian kích hoạt</t>
  </si>
  <si>
    <t>24/06/2026</t>
  </si>
  <si>
    <t>BF-017</t>
  </si>
  <si>
    <t>Luồng Mua mới Camera – sửa đứt gãy tại bước thanh toán</t>
  </si>
  <si>
    <t>Là khách hàng mua mới Camera FPT, tôi muốn hoàn tất thanh toán mà không bị gián đoạn ở bước cuối, để đơn hàng được xử lý và nhận xác nhận ngay.</t>
  </si>
  <si>
    <t>CHO TRƯỚC tôi đã chọn camera và điền thông tin
KHI tôi nhấn Xác nhận thanh toán
THÌ hệ thống xử lý và chuyển sang trang thành công
CHO TRƯỚC xảy ra lỗi kỹ thuật
THÌ hệ thống hiển thị thông báo lỗi rõ ràng và cho phép thử lại</t>
  </si>
  <si>
    <t>BF-018</t>
  </si>
  <si>
    <t>Luồng Mua mới Camera – bổ sung giỏ hàng combo</t>
  </si>
  <si>
    <t>Là khách hàng mua Camera FPT, tôi muốn chọn đồng thời nhiều loại camera (ngoài trời + trong nhà) trong cùng một đơn hàng, để mua combo tiện lợi mà không cần đặt nhiều đơn riêng.</t>
  </si>
  <si>
    <t>CHO TRƯỚC tôi đang ở trang chọn Camera
KHI tôi thêm camera ngoài trời vào giỏ
THÌ hệ thống cho phép tiếp tục thêm camera trong nhà
KHI tôi vào giỏ hàng
THÌ hiển thị đầy đủ cả 2 sản phẩm với giá tổng chính xác</t>
  </si>
  <si>
    <t>RM-001</t>
  </si>
  <si>
    <t>Luồng bán Camera chỉ giao hàng – Sàn TMĐT</t>
  </si>
  <si>
    <t>Là khách hàng mua Camera FPT qua sàn TMĐT, tôi muốn thực hiện luồng mua hàng chỉ giao hàng (không bao gồm lắp đặt), để nhận thiết bị nhanh chóng và tự lắp đặt.</t>
  </si>
  <si>
    <t>CHO TRƯỚC tôi chọn mua Camera trên sàn TMĐT
KHI tôi chọn hình thức Chỉ giao hàng
THÌ hệ thống không yêu cầu đặt lịch lắp đặt
KHI đơn được tạo
THÌ trạng thái chuyển sang Đang xử lý giao hàng và tôi nhận thông báo</t>
  </si>
  <si>
    <t>20/06</t>
  </si>
  <si>
    <t>Chưa có chỗ nâng cấp camera combo trên HD net only</t>
  </si>
  <si>
    <t>RM-002</t>
  </si>
  <si>
    <t>LDP FCitizen – UI/UX &amp; cập nhật chính sách gói bán</t>
  </si>
  <si>
    <t>Là nhân viên FPT (FPTer), tôi muốn truy cập trang FCitizen tại fpt.vn/fcitizen với giao diện mới và chính sách gói bán được cập nhật, để biết chính xác quyền lợi và đăng ký đúng chính sách.</t>
  </si>
  <si>
    <t>CHO TRƯỚC tôi truy cập fpt.vn/fcitizen
KHI trang tải
THÌ giao diện mới hiển thị đúng design
CHO TRƯỚC chính sách gói bán được cập nhật
THÌ thông tin trên trang phản ánh đúng, không lệch với hệ thống backend</t>
  </si>
  <si>
    <t>06/03/2026</t>
  </si>
  <si>
    <t>Cần làm rõ quy trình bán: chỉ sửa UI hay có luồng bán mới?</t>
  </si>
  <si>
    <t>RM-003</t>
  </si>
  <si>
    <t>Nâng cấp/bán thêm</t>
  </si>
  <si>
    <t>Luồng nâng cấp 5 Dịch vụ – FPT.vn</t>
  </si>
  <si>
    <t>Là khách hàng FPT muốn bổ sung hoặc nâng cấp dịch vụ, tôi muốn thực hiện luồng nâng cấp 5 loại dịch vụ trực tiếp trên FPT.vn, để hoàn tất mà không phải liên hệ tổng đài.</t>
  </si>
  <si>
    <t>CHO TRƯỚC tôi đang đăng nhập trên FPT.vn
KHI tôi vào trang nâng cấp
THÌ hiển thị đủ 5 dịch vụ với chính sách giá rõ ràng
KHI tôi hoàn tất nâng cấp
THÌ nhận xác nhận và dịch vụ kích hoạt trong vòng 24 giờ</t>
  </si>
  <si>
    <t>30/06</t>
  </si>
  <si>
    <t>RM-004</t>
  </si>
  <si>
    <t>Giới thiệu bạn bè</t>
  </si>
  <si>
    <t>Hub vinh danh Giới thiệu bạn bè trên App HiFPT</t>
  </si>
  <si>
    <t>Là khách hàng tham gia chương trình Giới thiệu bạn bè, tôi muốn xem trang vinh danh thành tích (Cơ bản/Bạc/Vàng/Kim cương) trên App HiFPT, để được ghi nhận và có thêm động lực giới thiệu.</t>
  </si>
  <si>
    <t>CHO TRƯỚC tôi mở App HiFPT và đã tham gia GTBB
KHI tôi vào mục Vinh danh
THÌ hiển thị level hiện tại, số người đã giới thiệu và phần thưởng tương ứng
CHO TRƯỚC tôi đạt đủ điều kiện lên level mới
THÌ hệ thống gửi thông báo chúc mừng</t>
  </si>
  <si>
    <t>RM-005</t>
  </si>
  <si>
    <t>LDP Giới thiệu bạn bè – Người được giới thiệu</t>
  </si>
  <si>
    <t>Là người được bạn bè giới thiệu đến FPT, tôi muốn truy cập trang landing page riêng giải thích ưu đãi và hướng dẫn đăng ký, để hiểu ngay quyền lợi và hoàn tất đăng ký nhanh chóng.</t>
  </si>
  <si>
    <t>CHO TRƯỚC tôi nhấn link giới thiệu từ bạn
KHI trang LDP tải
THÌ hiển thị tên người giới thiệu, ưu đãi áp dụng và nút đăng ký
KHI tôi đăng ký thành công
THÌ hệ thống ghi nhận mã giới thiệu và cả hai bên nhận thưởng theo chính sách</t>
  </si>
  <si>
    <t>30/07</t>
  </si>
  <si>
    <t>RM-006</t>
  </si>
  <si>
    <t>Thanh toán</t>
  </si>
  <si>
    <t>Tích hợp Auto Pay trên website FPT.vn</t>
  </si>
  <si>
    <t>Là khách hàng đăng ký dịch vụ FPT định kỳ, tôi muốn lưu thẻ và kích hoạt tự động gia hạn trên FPT.vn, để không bị gián đoạn dịch vụ do quên thanh toán.</t>
  </si>
  <si>
    <t>CHO TRƯỚC tôi đăng nhập FPT.vn
KHI tôi vào cài đặt thanh toán và thêm thẻ
THÌ thẻ được mã hóa và lưu an toàn
KHI đến kỳ gia hạn
THÌ hệ thống tự trừ tiền và gửi thông báo; khi thất bại tôi nhận cảnh báo trong vòng 24 giờ</t>
  </si>
  <si>
    <t>Cần làm rõ kịch bản thanh toán auto pay với team HiFPT</t>
  </si>
  <si>
    <t>RM-007</t>
  </si>
  <si>
    <t>SA Play</t>
  </si>
  <si>
    <t>Gửi E-Card khi khách hàng mua gói SA Play</t>
  </si>
  <si>
    <t>Là khách hàng mua gói SA Play trên FPT.vn hoặc HiFPT, tôi muốn gửi E-Card kỹ thuật số cho bạn bè sau khi mua gói, để bạn tôi tự kích hoạt dịch vụ một cách tiện lợi.</t>
  </si>
  <si>
    <t>CHO TRƯỚC tôi mua gói SA Play và chọn hình thức Tặng bạn bè
KHI thanh toán thành công
THÌ hệ thống gửi E-Card qua email/SMS cho người nhận
KHI người nhận nhấn kích hoạt
THÌ mã được ghi nhận và dịch vụ kích hoạt cho tài khoản họ</t>
  </si>
  <si>
    <t>ISC đánh dấu KH đi theo luồng nhận mã; FPL trả thông tin qua ZNS</t>
  </si>
  <si>
    <t>RM-008</t>
  </si>
  <si>
    <t>Landing Page Camera GenZ</t>
  </si>
  <si>
    <t>Là khách hàng trẻ (GenZ) quan tâm đến Camera FPT, tôi muốn trải nghiệm trang landing page phong cách GenZ hiển thị sản phẩm, giá và ưu đãi nổi bật, để dễ dàng quyết định đăng ký.</t>
  </si>
  <si>
    <t>CHO TRƯỚC tôi truy cập LDP Camera GenZ
KHI trang tải
THÌ giao diện hiển thị đúng concept GenZ, tải dưới 3 giây
KHI tôi nhấn Đăng ký ngay
THÌ chuyển đúng đến luồng mua và chính sách được áp dụng đầy đủ</t>
  </si>
  <si>
    <t>Cần đánh giá lại mức độ ưu tiên và xác nhận owner</t>
  </si>
  <si>
    <t>RM-009</t>
  </si>
  <si>
    <t>Luồng Recall – tái kết nối khách hàng cũ</t>
  </si>
  <si>
    <t>Là khách hàng FPT đã từng dừng sử dụng dịch vụ, tôi muốn nhận đề xuất kích hoạt lại dịch vụ phù hợp qua FPT.vn hoặc HiFPT, để quay lại sử dụng với ưu đãi tái kết nối.</t>
  </si>
  <si>
    <t>CHO TRƯỚC tôi thuộc tệp khách hàng Recall
KHI tôi truy cập FPT.vn hoặc HiFPT
THÌ hệ thống hiển thị banner/popup đề xuất tái kết nối với gói phù hợp
KHI tôi nhấn Đăng ký lại
THÌ luồng mua tự điền sẵn thông tin cũ</t>
  </si>
  <si>
    <t>RM-010</t>
  </si>
  <si>
    <t>Luồng Autocall – tích hợp ZNS nâng cấp/bán thêm</t>
  </si>
  <si>
    <t>Là người quản lý chiến dịch bán hàng FPT, tôi muốn tích hợp ZNS vào hệ thống Autocall để tiếp cận khách hàng hiện hữu nhằm nâng cấp hoặc bán thêm dịch vụ, để tỷ lệ tiếp cận tăng và chi phí SMS giảm.</t>
  </si>
  <si>
    <t>CHO TRƯỚC chiến dịch Autocall được cấu hình với ZNS
KHI hệ thống gọi đến số điện thoại trong tệp data
THÌ tin ZNS được gửi khi cuộc gọi không bắt máy
KHI khách hàng phản hồi ZNS
THÌ log được ghi nhận trong hệ thống CRM</t>
  </si>
  <si>
    <t>RM-011</t>
  </si>
  <si>
    <t>Cross-sell FPTPlay.vn</t>
  </si>
  <si>
    <t>Là khách hàng Internet FPT, tôi muốn thấy đề xuất nâng cấp/thêm gói FPT Play khi duyệt FPT.vn, để biết về gói giải trí bổ sung và dễ dàng nâng cấp trong một giao dịch.</t>
  </si>
  <si>
    <t>CHO TRƯỚC tôi đang đăng nhập FPT.vn
KHI tôi xem trang sản phẩm Internet
THÌ hiển thị block cross-sell gói SA Play với giá nâng cấp
KHI tôi nhấn Thêm vào gói
THÌ gói SA Play được thêm vào đơn hàng hiện tại</t>
  </si>
  <si>
    <t>RM-012</t>
  </si>
  <si>
    <t>Self-Service Cam trên sàn TMĐT</t>
  </si>
  <si>
    <t>Là khách hàng mua Camera FPT qua sàn TMĐT, tôi muốn tự xử lý các yêu cầu sau mua (cài đặt, báo lỗi, gia hạn cloud) qua giao diện self-service, để không cần gọi hotline cho vấn đề đơn giản.</t>
  </si>
  <si>
    <t>CHO TRƯỚC tôi đã mua Camera FPT qua sàn
KHI tôi vào khu vực quản lý đơn hàng
THÌ có tùy chọn Hỗ trợ kỹ thuật và Gia hạn Cloud
KHI tôi gửi yêu cầu hỗ trợ
THÌ ticket được tạo và tôi nhận mã tra cứu trong vòng 5 phút</t>
  </si>
  <si>
    <t>RM-013</t>
  </si>
  <si>
    <t>Chính sách GTBB tặng thiết bị Cam &amp; Cloud</t>
  </si>
  <si>
    <t>Là khách hàng tham gia chương trình Giới thiệu bạn bè Camera FPT, tôi muốn nhận thiết bị Camera và gói Cloud làm phần thưởng khi giới thiệu thành công, để có thêm lợi ích thực sự.</t>
  </si>
  <si>
    <t>CHO TRƯỚC tôi đã giới thiệu thành công 1 khách hàng mới đăng ký Camera
KHI điều kiện chính sách được đáp ứng
THÌ hệ thống tự động tạo lệnh thưởng thiết bị/cloud cho tôi
KHI phần thưởng được xử lý
THÌ tôi nhận thông báo và thông tin bàn giao trong vòng 5 ngày làm việc</t>
  </si>
  <si>
    <t>TỔNG</t>
  </si>
  <si>
    <t>Chú thích:</t>
  </si>
  <si>
    <t>BF-xxx = Backlog FPTvn</t>
  </si>
  <si>
    <t>RM-xxx = Roadmap 18.5</t>
  </si>
  <si>
    <t>Cột L: Trạng thái có trình thả xuống — click ô để chọn</t>
  </si>
  <si>
    <t>Epic: để trống — PO/BA tự điền</t>
  </si>
  <si>
    <t>DEFINITION OF DONE (DoD) — FPT TELECOM | ĐỘI PRODUCT</t>
  </si>
  <si>
    <t>Tiêu chí nghiệm thu</t>
  </si>
  <si>
    <t>Loại kiểm tra</t>
  </si>
  <si>
    <t>✓ 1</t>
  </si>
  <si>
    <t>Yêu cầu đã được BA/PO xác nhận và sign-off trước khi dev</t>
  </si>
  <si>
    <t>BA Sign-off</t>
  </si>
  <si>
    <t>✓ 2</t>
  </si>
  <si>
    <t>Acceptance Criteria đã pass toàn bộ (manual hoặc automated)</t>
  </si>
  <si>
    <t>AC Verification</t>
  </si>
  <si>
    <t>✓ 3</t>
  </si>
  <si>
    <t>Code đã được review bởi ít nhất 1 thành viên khác</t>
  </si>
  <si>
    <t>Code Review</t>
  </si>
  <si>
    <t>✓ 4</t>
  </si>
  <si>
    <t>Không có bug P1/P2 mở tại thời điểm demo</t>
  </si>
  <si>
    <t>QA Testing</t>
  </si>
  <si>
    <t>✓ 5</t>
  </si>
  <si>
    <t>UI đã được kiểm tra trên Chrome, Safari, Firefox (responsive)</t>
  </si>
  <si>
    <t>UI/Cross-browser</t>
  </si>
  <si>
    <t>✓ 6</t>
  </si>
  <si>
    <t>Tài liệu kỹ thuật (API, flow) được cập nhật nếu có thay đổi</t>
  </si>
  <si>
    <t>Documentation</t>
  </si>
  <si>
    <t>✓ 7</t>
  </si>
  <si>
    <t>Timeline ISC được xác nhận và đồng bộ với bên ISC</t>
  </si>
  <si>
    <t>ISC Sync</t>
  </si>
</sst>
</file>

<file path=xl/styles.xml><?xml version="1.0" encoding="utf-8"?>
<styleSheet xmlns="http://schemas.openxmlformats.org/spreadsheetml/2006/main">
  <fonts count="32">
    <font>
      <sz val="11"/>
      <color theme="1"/>
      <name val="Calibri"/>
      <family val="2"/>
      <scheme val="minor"/>
    </font>
    <font>
      <b/>
      <sz val="20"/>
      <color rgb="FFE86A23"/>
      <name val="Times New Roman"/>
      <family val="2"/>
    </font>
    <font>
      <b/>
      <sz val="13"/>
      <color rgb="FF1F2737"/>
      <name val="Times New Roman"/>
      <family val="2"/>
    </font>
    <font>
      <b/>
      <sz val="11"/>
      <color rgb="FFFFFFFF"/>
      <name val="Times New Roman"/>
      <family val="2"/>
    </font>
    <font>
      <sz val="11"/>
      <color theme="1"/>
      <name val="Times New Roman"/>
      <family val="2"/>
    </font>
    <font>
      <b/>
      <sz val="13"/>
      <color rgb="FFE86A23"/>
      <name val="Times New Roman"/>
      <family val="2"/>
    </font>
    <font>
      <sz val="9"/>
      <color rgb="FF888888"/>
      <name val="Times New Roman"/>
      <family val="2"/>
    </font>
    <font>
      <b/>
      <sz val="12"/>
      <color rgb="FFFFFFFF"/>
      <name val="Times New Roman"/>
      <family val="2"/>
    </font>
    <font>
      <b/>
      <sz val="10"/>
      <color rgb="FFFFFFFF"/>
      <name val="Times New Roman"/>
      <family val="2"/>
    </font>
    <font>
      <b/>
      <sz val="11"/>
      <color rgb="FF1E4D8C"/>
      <name val="Times New Roman"/>
      <family val="2"/>
    </font>
    <font>
      <i/>
      <sz val="11"/>
      <color rgb="FFBBBBBB"/>
      <name val="Times New Roman"/>
      <family val="2"/>
    </font>
    <font>
      <b/>
      <sz val="11"/>
      <color theme="1"/>
      <name val="Times New Roman"/>
      <family val="2"/>
    </font>
    <font>
      <b/>
      <sz val="12"/>
      <color theme="1"/>
      <name val="Times New Roman"/>
      <family val="2"/>
    </font>
    <font>
      <b/>
      <sz val="10"/>
      <color rgb="FF1E4D8C"/>
      <name val="Times New Roman"/>
      <family val="2"/>
    </font>
    <font>
      <b/>
      <sz val="9"/>
      <color rgb="FF1E4D8C"/>
      <name val="Times New Roman"/>
      <family val="2"/>
    </font>
    <font>
      <sz val="11"/>
      <color rgb="FF5D4037"/>
      <name val="Times New Roman"/>
      <family val="2"/>
    </font>
    <font>
      <b/>
      <sz val="10"/>
      <color rgb="FFE67E22"/>
      <name val="Times New Roman"/>
      <family val="2"/>
    </font>
    <font>
      <b/>
      <sz val="10"/>
      <color rgb="FFAAAAAA"/>
      <name val="Times New Roman"/>
      <family val="2"/>
    </font>
    <font>
      <b/>
      <sz val="11"/>
      <color rgb="FF6C3483"/>
      <name val="Times New Roman"/>
      <family val="2"/>
    </font>
    <font>
      <b/>
      <sz val="9"/>
      <color rgb="FF6C3483"/>
      <name val="Times New Roman"/>
      <family val="2"/>
    </font>
    <font>
      <b/>
      <sz val="10"/>
      <color theme="1"/>
      <name val="Times New Roman"/>
      <family val="2"/>
    </font>
    <font>
      <i/>
      <sz val="9"/>
      <color rgb="FF555555"/>
      <name val="Times New Roman"/>
      <family val="2"/>
    </font>
    <font>
      <i/>
      <sz val="9"/>
      <color rgb="FF888888"/>
      <name val="Times New Roman"/>
      <family val="2"/>
    </font>
    <font>
      <b/>
      <sz val="8"/>
      <color rgb="FFAAAAAA"/>
      <name val="Times New Roman"/>
      <family val="2"/>
    </font>
    <font>
      <b/>
      <sz val="8"/>
      <color rgb="FF1E4D8C"/>
      <name val="Times New Roman"/>
      <family val="2"/>
    </font>
    <font>
      <b/>
      <sz val="8"/>
      <color rgb="FF7D6608"/>
      <name val="Times New Roman"/>
      <family val="2"/>
    </font>
    <font>
      <b/>
      <sz val="8"/>
      <color rgb="FF784212"/>
      <name val="Times New Roman"/>
      <family val="2"/>
    </font>
    <font>
      <b/>
      <sz val="8"/>
      <color rgb="FF1A5276"/>
      <name val="Times New Roman"/>
      <family val="2"/>
    </font>
    <font>
      <b/>
      <sz val="8"/>
      <color rgb="FFE67E22"/>
      <name val="Times New Roman"/>
      <family val="2"/>
    </font>
    <font>
      <b/>
      <sz val="8"/>
      <color rgb="FF1E8449"/>
      <name val="Times New Roman"/>
      <family val="2"/>
    </font>
    <font>
      <b/>
      <sz val="8"/>
      <color rgb="FFFFFFFF"/>
      <name val="Times New Roman"/>
      <family val="2"/>
    </font>
    <font>
      <sz val="11"/>
      <color rgb="FF1A7A1A"/>
      <name val="Times New Roman"/>
      <family val="2"/>
    </font>
  </fonts>
  <fills count="24">
    <fill>
      <patternFill patternType="none"/>
    </fill>
    <fill>
      <patternFill patternType="gray125"/>
    </fill>
    <fill>
      <patternFill patternType="solid">
        <fgColor rgb="FFE86A23"/>
        <bgColor indexed="64"/>
      </patternFill>
    </fill>
    <fill>
      <patternFill patternType="solid">
        <fgColor rgb="FFFFF8F4"/>
        <bgColor indexed="64"/>
      </patternFill>
    </fill>
    <fill>
      <patternFill patternType="solid">
        <fgColor rgb="FFFFF0E8"/>
        <bgColor indexed="64"/>
      </patternFill>
    </fill>
    <fill>
      <patternFill patternType="solid">
        <fgColor rgb="FF1F2737"/>
        <bgColor indexed="64"/>
      </patternFill>
    </fill>
    <fill>
      <patternFill patternType="solid">
        <fgColor rgb="FFEBF5FB"/>
        <bgColor indexed="64"/>
      </patternFill>
    </fill>
    <fill>
      <patternFill patternType="solid">
        <fgColor rgb="FFF5F5F5"/>
        <bgColor indexed="64"/>
      </patternFill>
    </fill>
    <fill>
      <patternFill patternType="solid">
        <fgColor rgb="FFFEF9E7"/>
        <bgColor indexed="64"/>
      </patternFill>
    </fill>
    <fill>
      <patternFill patternType="solid">
        <fgColor rgb="FFFFFDE7"/>
        <bgColor indexed="64"/>
      </patternFill>
    </fill>
    <fill>
      <patternFill patternType="solid">
        <fgColor rgb="FFF0F7FF"/>
        <bgColor indexed="64"/>
      </patternFill>
    </fill>
    <fill>
      <patternFill patternType="solid">
        <fgColor rgb="FFD6EAF8"/>
        <bgColor indexed="64"/>
      </patternFill>
    </fill>
    <fill>
      <patternFill patternType="solid">
        <fgColor rgb="FFEBEBEB"/>
        <bgColor indexed="64"/>
      </patternFill>
    </fill>
    <fill>
      <patternFill patternType="solid">
        <fgColor rgb="FFFDF2E9"/>
        <bgColor indexed="64"/>
      </patternFill>
    </fill>
    <fill>
      <patternFill patternType="solid">
        <fgColor rgb="FFFFF3E0"/>
        <bgColor indexed="64"/>
      </patternFill>
    </fill>
    <fill>
      <patternFill patternType="solid">
        <fgColor rgb="FFFFF9C4"/>
        <bgColor indexed="64"/>
      </patternFill>
    </fill>
    <fill>
      <patternFill patternType="solid">
        <fgColor rgb="FFF5EEF8"/>
        <bgColor indexed="64"/>
      </patternFill>
    </fill>
    <fill>
      <patternFill patternType="solid">
        <fgColor rgb="FFEBE0F5"/>
        <bgColor indexed="64"/>
      </patternFill>
    </fill>
    <fill>
      <patternFill patternType="solid">
        <fgColor rgb="FFFDEBD0"/>
        <bgColor indexed="64"/>
      </patternFill>
    </fill>
    <fill>
      <patternFill patternType="solid">
        <fgColor rgb="FFEAFAF1"/>
        <bgColor indexed="64"/>
      </patternFill>
    </fill>
    <fill>
      <patternFill patternType="solid">
        <fgColor rgb="FF27AE60"/>
        <bgColor indexed="64"/>
      </patternFill>
    </fill>
    <fill>
      <patternFill patternType="solid">
        <fgColor rgb="FFF9F9F9"/>
        <bgColor indexed="64"/>
      </patternFill>
    </fill>
    <fill>
      <patternFill patternType="solid">
        <fgColor rgb="FFEAF4EA"/>
        <bgColor indexed="64"/>
      </patternFill>
    </fill>
    <fill>
      <patternFill patternType="solid">
        <fgColor rgb="FFD5ECD5"/>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48">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2" borderId="0" xfId="0" applyFill="1"/>
    <xf numFmtId="0" fontId="3" fillId="2" borderId="1" xfId="0" applyFont="1" applyFill="1" applyBorder="1" applyAlignment="1">
      <alignment horizontal="center" vertical="center" wrapText="1"/>
    </xf>
    <xf numFmtId="0" fontId="4" fillId="3" borderId="1" xfId="0" applyFont="1" applyFill="1" applyBorder="1" applyAlignment="1">
      <alignment vertical="center" wrapText="1"/>
    </xf>
    <xf numFmtId="0" fontId="5" fillId="4" borderId="1" xfId="0" applyFont="1" applyFill="1" applyBorder="1" applyAlignment="1">
      <alignment horizontal="center" vertical="center" wrapText="1"/>
    </xf>
    <xf numFmtId="0" fontId="6" fillId="0" borderId="0" xfId="0" applyFont="1" applyAlignment="1">
      <alignment horizontal="center" vertical="center" wrapText="1"/>
    </xf>
    <xf numFmtId="0" fontId="7" fillId="2"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9" fillId="6" borderId="1" xfId="0" applyFont="1" applyFill="1" applyBorder="1" applyAlignment="1">
      <alignment horizontal="center" vertical="center" wrapText="1"/>
    </xf>
    <xf numFmtId="0" fontId="10" fillId="7" borderId="1" xfId="0" applyFont="1" applyFill="1" applyBorder="1" applyAlignment="1">
      <alignment vertical="center" wrapText="1"/>
    </xf>
    <xf numFmtId="0" fontId="4" fillId="0" borderId="2" xfId="0" applyFont="1" applyBorder="1" applyAlignment="1">
      <alignment vertical="center" wrapText="1"/>
    </xf>
    <xf numFmtId="0" fontId="11" fillId="0" borderId="2" xfId="0" applyFont="1" applyBorder="1" applyAlignment="1">
      <alignment vertical="center" wrapText="1"/>
    </xf>
    <xf numFmtId="0" fontId="12" fillId="8" borderId="1"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5" fillId="9" borderId="2" xfId="0" applyFont="1" applyFill="1" applyBorder="1" applyAlignment="1">
      <alignment vertical="center" wrapText="1"/>
    </xf>
    <xf numFmtId="0" fontId="4" fillId="10" borderId="2" xfId="0" applyFont="1" applyFill="1" applyBorder="1" applyAlignment="1">
      <alignment horizontal="center" vertical="center" wrapText="1"/>
    </xf>
    <xf numFmtId="0" fontId="9" fillId="11" borderId="1" xfId="0" applyFont="1" applyFill="1" applyBorder="1" applyAlignment="1">
      <alignment horizontal="center" vertical="center" wrapText="1"/>
    </xf>
    <xf numFmtId="0" fontId="10" fillId="12" borderId="1" xfId="0" applyFont="1" applyFill="1" applyBorder="1" applyAlignment="1">
      <alignment vertical="center" wrapText="1"/>
    </xf>
    <xf numFmtId="0" fontId="4" fillId="10" borderId="2" xfId="0" applyFont="1" applyFill="1" applyBorder="1" applyAlignment="1">
      <alignment vertical="center" wrapText="1"/>
    </xf>
    <xf numFmtId="0" fontId="11" fillId="10" borderId="2" xfId="0" applyFont="1" applyFill="1" applyBorder="1" applyAlignment="1">
      <alignment vertical="center" wrapText="1"/>
    </xf>
    <xf numFmtId="0" fontId="12" fillId="13" borderId="1" xfId="0" applyFont="1" applyFill="1" applyBorder="1" applyAlignment="1">
      <alignment horizontal="center" vertical="center" wrapText="1"/>
    </xf>
    <xf numFmtId="0" fontId="16" fillId="14" borderId="1" xfId="0" applyFont="1" applyFill="1" applyBorder="1" applyAlignment="1">
      <alignment horizontal="center" vertical="center" wrapText="1"/>
    </xf>
    <xf numFmtId="0" fontId="15" fillId="15" borderId="2" xfId="0" applyFont="1" applyFill="1" applyBorder="1" applyAlignment="1">
      <alignment vertical="center" wrapText="1"/>
    </xf>
    <xf numFmtId="0" fontId="17" fillId="7" borderId="1" xfId="0" applyFont="1" applyFill="1" applyBorder="1" applyAlignment="1">
      <alignment horizontal="center" vertical="center" wrapText="1"/>
    </xf>
    <xf numFmtId="0" fontId="18" fillId="16" borderId="1" xfId="0" applyFont="1" applyFill="1" applyBorder="1" applyAlignment="1">
      <alignment horizontal="center" vertical="center" wrapText="1"/>
    </xf>
    <xf numFmtId="0" fontId="19" fillId="16" borderId="1" xfId="0" applyFont="1" applyFill="1" applyBorder="1" applyAlignment="1">
      <alignment horizontal="center" vertical="center" wrapText="1"/>
    </xf>
    <xf numFmtId="0" fontId="18" fillId="17"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0" fillId="0" borderId="0" xfId="0" applyFont="1" applyAlignment="1">
      <alignment vertical="center" wrapText="1"/>
    </xf>
    <xf numFmtId="0" fontId="21" fillId="0" borderId="0" xfId="0" applyFont="1" applyAlignment="1">
      <alignment vertical="center" wrapText="1"/>
    </xf>
    <xf numFmtId="0" fontId="22" fillId="0" borderId="0" xfId="0" applyFont="1" applyAlignment="1">
      <alignment vertical="center" wrapText="1"/>
    </xf>
    <xf numFmtId="0" fontId="23" fillId="7" borderId="1" xfId="0" applyFont="1" applyFill="1" applyBorder="1" applyAlignment="1">
      <alignment horizontal="center" vertical="center" wrapText="1"/>
    </xf>
    <xf numFmtId="0" fontId="24" fillId="6" borderId="1" xfId="0" applyFont="1" applyFill="1" applyBorder="1" applyAlignment="1">
      <alignment horizontal="center" vertical="center" wrapText="1"/>
    </xf>
    <xf numFmtId="0" fontId="25" fillId="8" borderId="1" xfId="0" applyFont="1" applyFill="1" applyBorder="1" applyAlignment="1">
      <alignment horizontal="center" vertical="center" wrapText="1"/>
    </xf>
    <xf numFmtId="0" fontId="26" fillId="18"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0" fontId="28" fillId="14" borderId="1" xfId="0" applyFont="1" applyFill="1" applyBorder="1" applyAlignment="1">
      <alignment horizontal="center" vertical="center" wrapText="1"/>
    </xf>
    <xf numFmtId="0" fontId="29" fillId="19" borderId="1" xfId="0" applyFont="1" applyFill="1" applyBorder="1" applyAlignment="1">
      <alignment horizontal="center" vertical="center" wrapText="1"/>
    </xf>
    <xf numFmtId="0" fontId="30" fillId="20" borderId="1" xfId="0" applyFont="1" applyFill="1" applyBorder="1" applyAlignment="1">
      <alignment horizontal="center" vertical="center" wrapText="1"/>
    </xf>
    <xf numFmtId="0" fontId="3" fillId="20" borderId="1" xfId="0" applyFont="1" applyFill="1" applyBorder="1" applyAlignment="1">
      <alignment horizontal="center" vertical="center" wrapText="1"/>
    </xf>
    <xf numFmtId="0" fontId="4" fillId="21" borderId="1" xfId="0" applyFont="1" applyFill="1" applyBorder="1" applyAlignment="1">
      <alignment vertical="center" wrapText="1"/>
    </xf>
    <xf numFmtId="0" fontId="31" fillId="22" borderId="1" xfId="0" applyFont="1" applyFill="1" applyBorder="1" applyAlignment="1">
      <alignment horizontal="center" vertical="center" wrapText="1"/>
    </xf>
    <xf numFmtId="0" fontId="4" fillId="0" borderId="1" xfId="0" applyFont="1" applyBorder="1" applyAlignment="1">
      <alignment vertical="center" wrapText="1"/>
    </xf>
    <xf numFmtId="0" fontId="31" fillId="2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8"/>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3:G18"/>
  <sheetViews>
    <sheetView showGridLines="0" workbookViewId="0"/>
  </sheetViews>
  <sheetFormatPr defaultRowHeight="15"/>
  <cols>
    <col min="1" max="1" width="3.7109375" customWidth="1"/>
    <col min="2" max="7" width="19.7109375" customWidth="1"/>
  </cols>
  <sheetData>
    <row r="3" spans="2:7" ht="50" customHeight="1">
      <c r="B3" s="1" t="s">
        <v>8</v>
      </c>
      <c r="C3" s="1"/>
      <c r="D3" s="1"/>
      <c r="E3" s="1"/>
      <c r="F3" s="1"/>
      <c r="G3" s="1"/>
    </row>
    <row r="4" spans="2:7" ht="30" customHeight="1">
      <c r="B4" s="2" t="s">
        <v>9</v>
      </c>
      <c r="C4" s="2"/>
      <c r="D4" s="2"/>
      <c r="E4" s="2"/>
      <c r="F4" s="2"/>
      <c r="G4" s="2"/>
    </row>
    <row r="6" spans="2:7" ht="8" customHeight="1">
      <c r="B6" s="3"/>
      <c r="C6" s="3"/>
      <c r="D6" s="3"/>
      <c r="E6" s="3"/>
      <c r="F6" s="3"/>
      <c r="G6" s="3"/>
    </row>
    <row r="9" spans="2:7" ht="22" customHeight="1">
      <c r="B9" s="4" t="s">
        <v>10</v>
      </c>
      <c r="C9" s="5" t="s">
        <v>11</v>
      </c>
      <c r="D9" s="5"/>
      <c r="E9" s="4" t="s">
        <v>12</v>
      </c>
      <c r="F9" s="5" t="s">
        <v>13</v>
      </c>
      <c r="G9" s="5"/>
    </row>
    <row r="10" spans="2:7" ht="22" customHeight="1">
      <c r="B10" s="4" t="s">
        <v>14</v>
      </c>
      <c r="C10" s="5" t="s">
        <v>15</v>
      </c>
      <c r="D10" s="5"/>
      <c r="E10" s="4" t="s">
        <v>16</v>
      </c>
      <c r="F10" s="5" t="s">
        <v>17</v>
      </c>
      <c r="G10" s="5"/>
    </row>
    <row r="11" spans="2:7" ht="22" customHeight="1">
      <c r="B11" s="4" t="s">
        <v>18</v>
      </c>
      <c r="C11" s="5" t="s">
        <v>19</v>
      </c>
      <c r="D11" s="5"/>
      <c r="E11" s="4" t="s">
        <v>20</v>
      </c>
      <c r="F11" s="5" t="s">
        <v>21</v>
      </c>
      <c r="G11" s="5"/>
    </row>
    <row r="12" spans="2:7" ht="28" customHeight="1">
      <c r="B12" s="4" t="s">
        <v>22</v>
      </c>
      <c r="C12" s="6">
        <f>COUNTA('📌 Product Backlog'!A4:A34)</f>
        <v>0</v>
      </c>
      <c r="D12" s="6"/>
      <c r="E12" s="4" t="s">
        <v>23</v>
      </c>
      <c r="F12" s="6">
        <f>SUM('📌 Product Backlog'!H4:H34)</f>
        <v>0</v>
      </c>
      <c r="G12" s="6"/>
    </row>
    <row r="13" spans="2:7" ht="28" customHeight="1">
      <c r="B13" s="4" t="s">
        <v>24</v>
      </c>
      <c r="C13" s="6">
        <f>COUNTIF('📌 Product Backlog'!M4:M34,"Backlog FPTvn")</f>
        <v>0</v>
      </c>
      <c r="D13" s="6"/>
      <c r="E13" s="4" t="s">
        <v>25</v>
      </c>
      <c r="F13" s="6">
        <f>COUNTIF('📌 Product Backlog'!M4:M34,"Roadmap 18.5")</f>
        <v>0</v>
      </c>
      <c r="G13" s="6"/>
    </row>
    <row r="14" spans="2:7" ht="28" customHeight="1">
      <c r="B14" s="4" t="s">
        <v>26</v>
      </c>
      <c r="C14" s="6">
        <f>COUNTIF('📌 Product Backlog'!L4:L34,"Chưa tiếp nhận yêu cầu")</f>
        <v>0</v>
      </c>
      <c r="D14" s="6"/>
      <c r="E14" s="4" t="s">
        <v>27</v>
      </c>
      <c r="F14" s="6">
        <f>COUNTIF('📌 Product Backlog'!L4:L34,"Đã tiếp nhận yêu cầu")</f>
        <v>0</v>
      </c>
      <c r="G14" s="6"/>
    </row>
    <row r="15" spans="2:7" ht="28" customHeight="1">
      <c r="B15" s="4" t="s">
        <v>28</v>
      </c>
      <c r="C15" s="6">
        <f>COUNTIF('📌 Product Backlog'!L4:L34,"Đang phân tích")+COUNTIF('📌 Product Backlog'!L4:L34,"Đang trao đổi PBLQ")</f>
        <v>0</v>
      </c>
      <c r="D15" s="6"/>
      <c r="E15" s="4" t="s">
        <v>29</v>
      </c>
      <c r="F15" s="6">
        <f>COUNTIF('📌 Product Backlog'!L4:L34,"Đã bàn giao ISC")+COUNTIF('📌 Product Backlog'!L4:L34,"In Progress DEV")</f>
        <v>0</v>
      </c>
      <c r="G15" s="6"/>
    </row>
    <row r="16" spans="2:7" ht="28" customHeight="1">
      <c r="B16" s="4" t="s">
        <v>6</v>
      </c>
      <c r="C16" s="6">
        <f>COUNTIF('📌 Product Backlog'!L4:L34,"UAT")</f>
        <v>0</v>
      </c>
      <c r="D16" s="6"/>
      <c r="E16" s="4" t="s">
        <v>7</v>
      </c>
      <c r="F16" s="6">
        <f>COUNTIF('📌 Product Backlog'!L4:L34,"Done")</f>
        <v>0</v>
      </c>
      <c r="G16" s="6"/>
    </row>
    <row r="18" spans="2:7">
      <c r="B18" s="7" t="s">
        <v>30</v>
      </c>
      <c r="C18" s="7"/>
      <c r="D18" s="7"/>
      <c r="E18" s="7"/>
      <c r="F18" s="7"/>
      <c r="G18" s="7"/>
    </row>
  </sheetData>
  <mergeCells count="20">
    <mergeCell ref="B3:G3"/>
    <mergeCell ref="B4:G4"/>
    <mergeCell ref="B6:G6"/>
    <mergeCell ref="C9:D9"/>
    <mergeCell ref="F9:G9"/>
    <mergeCell ref="C10:D10"/>
    <mergeCell ref="F10:G10"/>
    <mergeCell ref="C11:D11"/>
    <mergeCell ref="F11:G11"/>
    <mergeCell ref="C12:D12"/>
    <mergeCell ref="F12:G12"/>
    <mergeCell ref="C13:D13"/>
    <mergeCell ref="F13:G13"/>
    <mergeCell ref="C14:D14"/>
    <mergeCell ref="F14:G14"/>
    <mergeCell ref="C15:D15"/>
    <mergeCell ref="F15:G15"/>
    <mergeCell ref="C16:D16"/>
    <mergeCell ref="F16:G16"/>
    <mergeCell ref="B18:G18"/>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39"/>
  <sheetViews>
    <sheetView showGridLines="0" zoomScale="80" zoomScaleNormal="80" workbookViewId="0">
      <pane ySplit="3" topLeftCell="A4" activePane="bottomLeft" state="frozen"/>
      <selection pane="bottomLeft"/>
    </sheetView>
  </sheetViews>
  <sheetFormatPr defaultRowHeight="15"/>
  <cols>
    <col min="1" max="1" width="4.7109375" customWidth="1"/>
    <col min="2" max="2" width="8.7109375" customWidth="1"/>
    <col min="3" max="3" width="6.7109375" customWidth="1"/>
    <col min="4" max="4" width="16.7109375" customWidth="1"/>
    <col min="5" max="5" width="22.7109375" customWidth="1"/>
    <col min="6" max="7" width="33.7109375" customWidth="1"/>
    <col min="8" max="8" width="5.7109375" customWidth="1"/>
    <col min="9" max="10" width="11.7109375" customWidth="1"/>
    <col min="11" max="11" width="13.7109375" customWidth="1"/>
    <col min="12" max="12" width="22.7109375" customWidth="1"/>
    <col min="13" max="13" width="13.7109375" customWidth="1"/>
    <col min="14" max="14" width="26.7109375" customWidth="1"/>
  </cols>
  <sheetData>
    <row r="1" spans="1:14" ht="34" customHeight="1">
      <c r="A1" s="8" t="s">
        <v>31</v>
      </c>
      <c r="B1" s="8"/>
      <c r="C1" s="8"/>
      <c r="D1" s="8"/>
      <c r="E1" s="8"/>
      <c r="F1" s="8"/>
      <c r="G1" s="8"/>
      <c r="H1" s="8"/>
      <c r="I1" s="8"/>
      <c r="J1" s="8"/>
      <c r="K1" s="8"/>
      <c r="L1" s="8"/>
      <c r="M1" s="8"/>
      <c r="N1" s="8"/>
    </row>
    <row r="2" spans="1:14" ht="6" customHeight="1"/>
    <row r="3" spans="1:14" ht="32" customHeight="1">
      <c r="A3" s="9" t="s">
        <v>32</v>
      </c>
      <c r="B3" s="9" t="s">
        <v>33</v>
      </c>
      <c r="C3" s="9" t="s">
        <v>34</v>
      </c>
      <c r="D3" s="9" t="s">
        <v>35</v>
      </c>
      <c r="E3" s="9" t="s">
        <v>36</v>
      </c>
      <c r="F3" s="9" t="s">
        <v>37</v>
      </c>
      <c r="G3" s="9" t="s">
        <v>38</v>
      </c>
      <c r="H3" s="9" t="s">
        <v>39</v>
      </c>
      <c r="I3" s="9" t="s">
        <v>40</v>
      </c>
      <c r="J3" s="9" t="s">
        <v>41</v>
      </c>
      <c r="K3" s="9" t="s">
        <v>42</v>
      </c>
      <c r="L3" s="9" t="s">
        <v>43</v>
      </c>
      <c r="M3" s="9" t="s">
        <v>44</v>
      </c>
      <c r="N3" s="9" t="s">
        <v>45</v>
      </c>
    </row>
    <row r="4" spans="1:14" ht="85" customHeight="1">
      <c r="A4" s="10">
        <v>1</v>
      </c>
      <c r="B4" s="11" t="s">
        <v>46</v>
      </c>
      <c r="C4" s="12"/>
      <c r="D4" s="13" t="s">
        <v>47</v>
      </c>
      <c r="E4" s="14" t="s">
        <v>48</v>
      </c>
      <c r="F4" s="13" t="s">
        <v>49</v>
      </c>
      <c r="G4" s="13" t="s">
        <v>50</v>
      </c>
      <c r="H4" s="15">
        <v>5</v>
      </c>
      <c r="I4" s="10" t="s">
        <v>51</v>
      </c>
      <c r="J4" s="10"/>
      <c r="K4" s="10"/>
      <c r="L4" s="16" t="s">
        <v>1</v>
      </c>
      <c r="M4" s="17" t="s">
        <v>24</v>
      </c>
      <c r="N4" s="18" t="s">
        <v>52</v>
      </c>
    </row>
    <row r="5" spans="1:14" ht="85" customHeight="1">
      <c r="A5" s="19">
        <v>2</v>
      </c>
      <c r="B5" s="20" t="s">
        <v>53</v>
      </c>
      <c r="C5" s="21"/>
      <c r="D5" s="22" t="s">
        <v>47</v>
      </c>
      <c r="E5" s="23" t="s">
        <v>54</v>
      </c>
      <c r="F5" s="22" t="s">
        <v>55</v>
      </c>
      <c r="G5" s="22" t="s">
        <v>56</v>
      </c>
      <c r="H5" s="24">
        <v>5</v>
      </c>
      <c r="I5" s="19" t="s">
        <v>51</v>
      </c>
      <c r="J5" s="19"/>
      <c r="K5" s="19"/>
      <c r="L5" s="25" t="s">
        <v>5</v>
      </c>
      <c r="M5" s="17" t="s">
        <v>24</v>
      </c>
      <c r="N5" s="26" t="s">
        <v>57</v>
      </c>
    </row>
    <row r="6" spans="1:14" ht="85" customHeight="1">
      <c r="A6" s="10">
        <v>3</v>
      </c>
      <c r="B6" s="11" t="s">
        <v>58</v>
      </c>
      <c r="C6" s="12"/>
      <c r="D6" s="13" t="s">
        <v>59</v>
      </c>
      <c r="E6" s="14" t="s">
        <v>60</v>
      </c>
      <c r="F6" s="13" t="s">
        <v>61</v>
      </c>
      <c r="G6" s="13" t="s">
        <v>62</v>
      </c>
      <c r="H6" s="15">
        <v>5</v>
      </c>
      <c r="I6" s="10" t="s">
        <v>63</v>
      </c>
      <c r="J6" s="10"/>
      <c r="K6" s="10"/>
      <c r="L6" s="16" t="s">
        <v>1</v>
      </c>
      <c r="M6" s="17" t="s">
        <v>24</v>
      </c>
      <c r="N6" s="18"/>
    </row>
    <row r="7" spans="1:14" ht="85" customHeight="1">
      <c r="A7" s="19">
        <v>4</v>
      </c>
      <c r="B7" s="20" t="s">
        <v>64</v>
      </c>
      <c r="C7" s="21"/>
      <c r="D7" s="22" t="s">
        <v>59</v>
      </c>
      <c r="E7" s="23" t="s">
        <v>65</v>
      </c>
      <c r="F7" s="22" t="s">
        <v>66</v>
      </c>
      <c r="G7" s="22" t="s">
        <v>67</v>
      </c>
      <c r="H7" s="24">
        <v>5</v>
      </c>
      <c r="I7" s="19"/>
      <c r="J7" s="19"/>
      <c r="K7" s="19"/>
      <c r="L7" s="25" t="s">
        <v>5</v>
      </c>
      <c r="M7" s="17" t="s">
        <v>24</v>
      </c>
      <c r="N7" s="26"/>
    </row>
    <row r="8" spans="1:14" ht="85" customHeight="1">
      <c r="A8" s="10">
        <v>5</v>
      </c>
      <c r="B8" s="11" t="s">
        <v>68</v>
      </c>
      <c r="C8" s="12"/>
      <c r="D8" s="13" t="s">
        <v>59</v>
      </c>
      <c r="E8" s="14" t="s">
        <v>69</v>
      </c>
      <c r="F8" s="13" t="s">
        <v>70</v>
      </c>
      <c r="G8" s="13" t="s">
        <v>71</v>
      </c>
      <c r="H8" s="15">
        <v>3</v>
      </c>
      <c r="I8" s="10"/>
      <c r="J8" s="10"/>
      <c r="K8" s="10"/>
      <c r="L8" s="25" t="s">
        <v>5</v>
      </c>
      <c r="M8" s="17" t="s">
        <v>24</v>
      </c>
      <c r="N8" s="18" t="s">
        <v>72</v>
      </c>
    </row>
    <row r="9" spans="1:14" ht="85" customHeight="1">
      <c r="A9" s="19">
        <v>6</v>
      </c>
      <c r="B9" s="20" t="s">
        <v>73</v>
      </c>
      <c r="C9" s="21"/>
      <c r="D9" s="22"/>
      <c r="E9" s="23" t="s">
        <v>74</v>
      </c>
      <c r="F9" s="22" t="s">
        <v>75</v>
      </c>
      <c r="G9" s="22" t="s">
        <v>76</v>
      </c>
      <c r="H9" s="24">
        <v>5</v>
      </c>
      <c r="I9" s="19"/>
      <c r="J9" s="19"/>
      <c r="K9" s="19"/>
      <c r="L9" s="27" t="s">
        <v>0</v>
      </c>
      <c r="M9" s="17" t="s">
        <v>24</v>
      </c>
      <c r="N9" s="26"/>
    </row>
    <row r="10" spans="1:14" ht="85" customHeight="1">
      <c r="A10" s="10">
        <v>7</v>
      </c>
      <c r="B10" s="11" t="s">
        <v>77</v>
      </c>
      <c r="C10" s="12"/>
      <c r="D10" s="13" t="s">
        <v>47</v>
      </c>
      <c r="E10" s="14" t="s">
        <v>78</v>
      </c>
      <c r="F10" s="13" t="s">
        <v>79</v>
      </c>
      <c r="G10" s="13" t="s">
        <v>80</v>
      </c>
      <c r="H10" s="15">
        <v>5</v>
      </c>
      <c r="I10" s="10" t="s">
        <v>81</v>
      </c>
      <c r="J10" s="10"/>
      <c r="K10" s="10"/>
      <c r="L10" s="25" t="s">
        <v>5</v>
      </c>
      <c r="M10" s="17" t="s">
        <v>24</v>
      </c>
      <c r="N10" s="18"/>
    </row>
    <row r="11" spans="1:14" ht="85" customHeight="1">
      <c r="A11" s="19">
        <v>8</v>
      </c>
      <c r="B11" s="20" t="s">
        <v>82</v>
      </c>
      <c r="C11" s="21"/>
      <c r="D11" s="22" t="s">
        <v>59</v>
      </c>
      <c r="E11" s="23" t="s">
        <v>83</v>
      </c>
      <c r="F11" s="22" t="s">
        <v>84</v>
      </c>
      <c r="G11" s="22" t="s">
        <v>85</v>
      </c>
      <c r="H11" s="24">
        <v>5</v>
      </c>
      <c r="I11" s="19"/>
      <c r="J11" s="19"/>
      <c r="K11" s="19"/>
      <c r="L11" s="16" t="s">
        <v>1</v>
      </c>
      <c r="M11" s="17" t="s">
        <v>24</v>
      </c>
      <c r="N11" s="26" t="s">
        <v>86</v>
      </c>
    </row>
    <row r="12" spans="1:14" ht="85" customHeight="1">
      <c r="A12" s="10">
        <v>9</v>
      </c>
      <c r="B12" s="11" t="s">
        <v>87</v>
      </c>
      <c r="C12" s="12"/>
      <c r="D12" s="13" t="s">
        <v>47</v>
      </c>
      <c r="E12" s="14" t="s">
        <v>88</v>
      </c>
      <c r="F12" s="13" t="s">
        <v>89</v>
      </c>
      <c r="G12" s="13" t="s">
        <v>90</v>
      </c>
      <c r="H12" s="15">
        <v>5</v>
      </c>
      <c r="I12" s="10" t="s">
        <v>91</v>
      </c>
      <c r="J12" s="10"/>
      <c r="K12" s="10"/>
      <c r="L12" s="27" t="s">
        <v>0</v>
      </c>
      <c r="M12" s="17" t="s">
        <v>24</v>
      </c>
      <c r="N12" s="18"/>
    </row>
    <row r="13" spans="1:14" ht="85" customHeight="1">
      <c r="A13" s="19">
        <v>10</v>
      </c>
      <c r="B13" s="20" t="s">
        <v>92</v>
      </c>
      <c r="C13" s="21"/>
      <c r="D13" s="22" t="s">
        <v>59</v>
      </c>
      <c r="E13" s="23" t="s">
        <v>93</v>
      </c>
      <c r="F13" s="22" t="s">
        <v>94</v>
      </c>
      <c r="G13" s="22" t="s">
        <v>95</v>
      </c>
      <c r="H13" s="24">
        <v>2</v>
      </c>
      <c r="I13" s="19" t="s">
        <v>96</v>
      </c>
      <c r="J13" s="19"/>
      <c r="K13" s="19"/>
      <c r="L13" s="27" t="s">
        <v>0</v>
      </c>
      <c r="M13" s="17" t="s">
        <v>24</v>
      </c>
      <c r="N13" s="26" t="s">
        <v>97</v>
      </c>
    </row>
    <row r="14" spans="1:14" ht="85" customHeight="1">
      <c r="A14" s="10">
        <v>11</v>
      </c>
      <c r="B14" s="11" t="s">
        <v>98</v>
      </c>
      <c r="C14" s="12"/>
      <c r="D14" s="13" t="s">
        <v>47</v>
      </c>
      <c r="E14" s="14" t="s">
        <v>99</v>
      </c>
      <c r="F14" s="13" t="s">
        <v>100</v>
      </c>
      <c r="G14" s="13" t="s">
        <v>101</v>
      </c>
      <c r="H14" s="15">
        <v>3</v>
      </c>
      <c r="I14" s="10" t="s">
        <v>102</v>
      </c>
      <c r="J14" s="10"/>
      <c r="K14" s="10"/>
      <c r="L14" s="27" t="s">
        <v>0</v>
      </c>
      <c r="M14" s="17" t="s">
        <v>24</v>
      </c>
      <c r="N14" s="18"/>
    </row>
    <row r="15" spans="1:14" ht="85" customHeight="1">
      <c r="A15" s="19">
        <v>12</v>
      </c>
      <c r="B15" s="20" t="s">
        <v>103</v>
      </c>
      <c r="C15" s="21"/>
      <c r="D15" s="22" t="s">
        <v>104</v>
      </c>
      <c r="E15" s="23" t="s">
        <v>105</v>
      </c>
      <c r="F15" s="22" t="s">
        <v>106</v>
      </c>
      <c r="G15" s="22" t="s">
        <v>107</v>
      </c>
      <c r="H15" s="24">
        <v>2</v>
      </c>
      <c r="I15" s="19" t="s">
        <v>108</v>
      </c>
      <c r="J15" s="19"/>
      <c r="K15" s="19"/>
      <c r="L15" s="27" t="s">
        <v>0</v>
      </c>
      <c r="M15" s="17" t="s">
        <v>24</v>
      </c>
      <c r="N15" s="26" t="s">
        <v>97</v>
      </c>
    </row>
    <row r="16" spans="1:14" ht="85" customHeight="1">
      <c r="A16" s="10">
        <v>13</v>
      </c>
      <c r="B16" s="11" t="s">
        <v>109</v>
      </c>
      <c r="C16" s="12"/>
      <c r="D16" s="13" t="s">
        <v>104</v>
      </c>
      <c r="E16" s="14" t="s">
        <v>110</v>
      </c>
      <c r="F16" s="13" t="s">
        <v>111</v>
      </c>
      <c r="G16" s="13" t="s">
        <v>112</v>
      </c>
      <c r="H16" s="15">
        <v>3</v>
      </c>
      <c r="I16" s="10" t="s">
        <v>113</v>
      </c>
      <c r="J16" s="10"/>
      <c r="K16" s="10"/>
      <c r="L16" s="27" t="s">
        <v>0</v>
      </c>
      <c r="M16" s="17" t="s">
        <v>24</v>
      </c>
      <c r="N16" s="18"/>
    </row>
    <row r="17" spans="1:14" ht="85" customHeight="1">
      <c r="A17" s="19">
        <v>14</v>
      </c>
      <c r="B17" s="20" t="s">
        <v>114</v>
      </c>
      <c r="C17" s="21"/>
      <c r="D17" s="22" t="s">
        <v>59</v>
      </c>
      <c r="E17" s="23" t="s">
        <v>115</v>
      </c>
      <c r="F17" s="22" t="s">
        <v>116</v>
      </c>
      <c r="G17" s="22" t="s">
        <v>117</v>
      </c>
      <c r="H17" s="24">
        <v>5</v>
      </c>
      <c r="I17" s="19" t="s">
        <v>118</v>
      </c>
      <c r="J17" s="19"/>
      <c r="K17" s="19"/>
      <c r="L17" s="27" t="s">
        <v>0</v>
      </c>
      <c r="M17" s="17" t="s">
        <v>24</v>
      </c>
      <c r="N17" s="26"/>
    </row>
    <row r="18" spans="1:14" ht="85" customHeight="1">
      <c r="A18" s="10">
        <v>15</v>
      </c>
      <c r="B18" s="11" t="s">
        <v>119</v>
      </c>
      <c r="C18" s="12"/>
      <c r="D18" s="13" t="s">
        <v>59</v>
      </c>
      <c r="E18" s="14" t="s">
        <v>120</v>
      </c>
      <c r="F18" s="13" t="s">
        <v>121</v>
      </c>
      <c r="G18" s="13" t="s">
        <v>122</v>
      </c>
      <c r="H18" s="15">
        <v>5</v>
      </c>
      <c r="I18" s="10" t="s">
        <v>118</v>
      </c>
      <c r="J18" s="10"/>
      <c r="K18" s="10"/>
      <c r="L18" s="27" t="s">
        <v>0</v>
      </c>
      <c r="M18" s="17" t="s">
        <v>24</v>
      </c>
      <c r="N18" s="18"/>
    </row>
    <row r="19" spans="1:14" ht="85" customHeight="1">
      <c r="A19" s="19">
        <v>16</v>
      </c>
      <c r="B19" s="20" t="s">
        <v>123</v>
      </c>
      <c r="C19" s="21"/>
      <c r="D19" s="22" t="s">
        <v>47</v>
      </c>
      <c r="E19" s="23" t="s">
        <v>124</v>
      </c>
      <c r="F19" s="22" t="s">
        <v>125</v>
      </c>
      <c r="G19" s="22" t="s">
        <v>126</v>
      </c>
      <c r="H19" s="24">
        <v>5</v>
      </c>
      <c r="I19" s="19" t="s">
        <v>127</v>
      </c>
      <c r="J19" s="19"/>
      <c r="K19" s="19"/>
      <c r="L19" s="27" t="s">
        <v>0</v>
      </c>
      <c r="M19" s="17" t="s">
        <v>24</v>
      </c>
      <c r="N19" s="26"/>
    </row>
    <row r="20" spans="1:14" ht="85" customHeight="1">
      <c r="A20" s="10">
        <v>17</v>
      </c>
      <c r="B20" s="11" t="s">
        <v>128</v>
      </c>
      <c r="C20" s="12"/>
      <c r="D20" s="13" t="s">
        <v>47</v>
      </c>
      <c r="E20" s="14" t="s">
        <v>129</v>
      </c>
      <c r="F20" s="13" t="s">
        <v>130</v>
      </c>
      <c r="G20" s="13" t="s">
        <v>131</v>
      </c>
      <c r="H20" s="15">
        <v>5</v>
      </c>
      <c r="I20" s="10" t="s">
        <v>127</v>
      </c>
      <c r="J20" s="10"/>
      <c r="K20" s="10"/>
      <c r="L20" s="27" t="s">
        <v>0</v>
      </c>
      <c r="M20" s="17" t="s">
        <v>24</v>
      </c>
      <c r="N20" s="18"/>
    </row>
    <row r="21" spans="1:14" ht="85" customHeight="1">
      <c r="A21" s="19">
        <v>18</v>
      </c>
      <c r="B21" s="20" t="s">
        <v>132</v>
      </c>
      <c r="C21" s="21"/>
      <c r="D21" s="22" t="s">
        <v>47</v>
      </c>
      <c r="E21" s="23" t="s">
        <v>133</v>
      </c>
      <c r="F21" s="22" t="s">
        <v>134</v>
      </c>
      <c r="G21" s="22" t="s">
        <v>135</v>
      </c>
      <c r="H21" s="24">
        <v>5</v>
      </c>
      <c r="I21" s="19" t="s">
        <v>127</v>
      </c>
      <c r="J21" s="19"/>
      <c r="K21" s="19"/>
      <c r="L21" s="27" t="s">
        <v>0</v>
      </c>
      <c r="M21" s="17" t="s">
        <v>24</v>
      </c>
      <c r="N21" s="26"/>
    </row>
    <row r="22" spans="1:14" ht="85" customHeight="1">
      <c r="A22" s="10">
        <v>19</v>
      </c>
      <c r="B22" s="28" t="s">
        <v>136</v>
      </c>
      <c r="C22" s="12"/>
      <c r="D22" s="13" t="s">
        <v>47</v>
      </c>
      <c r="E22" s="14" t="s">
        <v>137</v>
      </c>
      <c r="F22" s="13" t="s">
        <v>138</v>
      </c>
      <c r="G22" s="13" t="s">
        <v>139</v>
      </c>
      <c r="H22" s="15">
        <v>5</v>
      </c>
      <c r="I22" s="10" t="s">
        <v>140</v>
      </c>
      <c r="J22" s="10"/>
      <c r="K22" s="10"/>
      <c r="L22" s="25" t="s">
        <v>5</v>
      </c>
      <c r="M22" s="29" t="s">
        <v>25</v>
      </c>
      <c r="N22" s="18" t="s">
        <v>141</v>
      </c>
    </row>
    <row r="23" spans="1:14" ht="85" customHeight="1">
      <c r="A23" s="19">
        <v>20</v>
      </c>
      <c r="B23" s="30" t="s">
        <v>142</v>
      </c>
      <c r="C23" s="21"/>
      <c r="D23" s="22" t="s">
        <v>59</v>
      </c>
      <c r="E23" s="23" t="s">
        <v>143</v>
      </c>
      <c r="F23" s="22" t="s">
        <v>144</v>
      </c>
      <c r="G23" s="22" t="s">
        <v>145</v>
      </c>
      <c r="H23" s="24">
        <v>3</v>
      </c>
      <c r="I23" s="19" t="s">
        <v>146</v>
      </c>
      <c r="J23" s="19"/>
      <c r="K23" s="19"/>
      <c r="L23" s="16" t="s">
        <v>1</v>
      </c>
      <c r="M23" s="29" t="s">
        <v>25</v>
      </c>
      <c r="N23" s="26" t="s">
        <v>147</v>
      </c>
    </row>
    <row r="24" spans="1:14" ht="85" customHeight="1">
      <c r="A24" s="10">
        <v>21</v>
      </c>
      <c r="B24" s="28" t="s">
        <v>148</v>
      </c>
      <c r="C24" s="12"/>
      <c r="D24" s="13" t="s">
        <v>149</v>
      </c>
      <c r="E24" s="14" t="s">
        <v>150</v>
      </c>
      <c r="F24" s="13" t="s">
        <v>151</v>
      </c>
      <c r="G24" s="13" t="s">
        <v>152</v>
      </c>
      <c r="H24" s="15">
        <v>3</v>
      </c>
      <c r="I24" s="10" t="s">
        <v>153</v>
      </c>
      <c r="J24" s="10"/>
      <c r="K24" s="10"/>
      <c r="L24" s="27" t="s">
        <v>0</v>
      </c>
      <c r="M24" s="29" t="s">
        <v>25</v>
      </c>
      <c r="N24" s="18"/>
    </row>
    <row r="25" spans="1:14" ht="85" customHeight="1">
      <c r="A25" s="19">
        <v>22</v>
      </c>
      <c r="B25" s="30" t="s">
        <v>154</v>
      </c>
      <c r="C25" s="21"/>
      <c r="D25" s="22" t="s">
        <v>155</v>
      </c>
      <c r="E25" s="23" t="s">
        <v>156</v>
      </c>
      <c r="F25" s="22" t="s">
        <v>157</v>
      </c>
      <c r="G25" s="22" t="s">
        <v>158</v>
      </c>
      <c r="H25" s="24">
        <v>3</v>
      </c>
      <c r="I25" s="19" t="s">
        <v>153</v>
      </c>
      <c r="J25" s="19"/>
      <c r="K25" s="19"/>
      <c r="L25" s="27" t="s">
        <v>0</v>
      </c>
      <c r="M25" s="29" t="s">
        <v>25</v>
      </c>
      <c r="N25" s="26"/>
    </row>
    <row r="26" spans="1:14" ht="85" customHeight="1">
      <c r="A26" s="10">
        <v>23</v>
      </c>
      <c r="B26" s="28" t="s">
        <v>159</v>
      </c>
      <c r="C26" s="12"/>
      <c r="D26" s="13" t="s">
        <v>155</v>
      </c>
      <c r="E26" s="14" t="s">
        <v>160</v>
      </c>
      <c r="F26" s="13" t="s">
        <v>161</v>
      </c>
      <c r="G26" s="13" t="s">
        <v>162</v>
      </c>
      <c r="H26" s="15">
        <v>3</v>
      </c>
      <c r="I26" s="10" t="s">
        <v>163</v>
      </c>
      <c r="J26" s="10"/>
      <c r="K26" s="10"/>
      <c r="L26" s="27" t="s">
        <v>0</v>
      </c>
      <c r="M26" s="29" t="s">
        <v>25</v>
      </c>
      <c r="N26" s="18"/>
    </row>
    <row r="27" spans="1:14" ht="85" customHeight="1">
      <c r="A27" s="19">
        <v>24</v>
      </c>
      <c r="B27" s="30" t="s">
        <v>164</v>
      </c>
      <c r="C27" s="21"/>
      <c r="D27" s="22" t="s">
        <v>165</v>
      </c>
      <c r="E27" s="23" t="s">
        <v>166</v>
      </c>
      <c r="F27" s="22" t="s">
        <v>167</v>
      </c>
      <c r="G27" s="22" t="s">
        <v>168</v>
      </c>
      <c r="H27" s="24">
        <v>3</v>
      </c>
      <c r="I27" s="19" t="s">
        <v>153</v>
      </c>
      <c r="J27" s="19"/>
      <c r="K27" s="19"/>
      <c r="L27" s="27" t="s">
        <v>0</v>
      </c>
      <c r="M27" s="29" t="s">
        <v>25</v>
      </c>
      <c r="N27" s="26" t="s">
        <v>169</v>
      </c>
    </row>
    <row r="28" spans="1:14" ht="85" customHeight="1">
      <c r="A28" s="10">
        <v>25</v>
      </c>
      <c r="B28" s="28" t="s">
        <v>170</v>
      </c>
      <c r="C28" s="12"/>
      <c r="D28" s="13" t="s">
        <v>171</v>
      </c>
      <c r="E28" s="14" t="s">
        <v>172</v>
      </c>
      <c r="F28" s="13" t="s">
        <v>173</v>
      </c>
      <c r="G28" s="13" t="s">
        <v>174</v>
      </c>
      <c r="H28" s="15">
        <v>3</v>
      </c>
      <c r="I28" s="10" t="s">
        <v>153</v>
      </c>
      <c r="J28" s="10"/>
      <c r="K28" s="10"/>
      <c r="L28" s="27" t="s">
        <v>0</v>
      </c>
      <c r="M28" s="29" t="s">
        <v>25</v>
      </c>
      <c r="N28" s="18" t="s">
        <v>175</v>
      </c>
    </row>
    <row r="29" spans="1:14" ht="85" customHeight="1">
      <c r="A29" s="19">
        <v>26</v>
      </c>
      <c r="B29" s="30" t="s">
        <v>176</v>
      </c>
      <c r="C29" s="21"/>
      <c r="D29" s="22" t="s">
        <v>47</v>
      </c>
      <c r="E29" s="23" t="s">
        <v>177</v>
      </c>
      <c r="F29" s="22" t="s">
        <v>178</v>
      </c>
      <c r="G29" s="22" t="s">
        <v>179</v>
      </c>
      <c r="H29" s="24">
        <v>5</v>
      </c>
      <c r="I29" s="19" t="s">
        <v>153</v>
      </c>
      <c r="J29" s="19"/>
      <c r="K29" s="19"/>
      <c r="L29" s="27" t="s">
        <v>0</v>
      </c>
      <c r="M29" s="29" t="s">
        <v>25</v>
      </c>
      <c r="N29" s="26" t="s">
        <v>180</v>
      </c>
    </row>
    <row r="30" spans="1:14" ht="85" customHeight="1">
      <c r="A30" s="10">
        <v>27</v>
      </c>
      <c r="B30" s="28" t="s">
        <v>181</v>
      </c>
      <c r="C30" s="12"/>
      <c r="D30" s="13" t="s">
        <v>59</v>
      </c>
      <c r="E30" s="14" t="s">
        <v>182</v>
      </c>
      <c r="F30" s="13" t="s">
        <v>183</v>
      </c>
      <c r="G30" s="13" t="s">
        <v>184</v>
      </c>
      <c r="H30" s="15">
        <v>5</v>
      </c>
      <c r="I30" s="10"/>
      <c r="J30" s="10"/>
      <c r="K30" s="10"/>
      <c r="L30" s="27" t="s">
        <v>0</v>
      </c>
      <c r="M30" s="29" t="s">
        <v>25</v>
      </c>
      <c r="N30" s="18"/>
    </row>
    <row r="31" spans="1:14" ht="85" customHeight="1">
      <c r="A31" s="19">
        <v>28</v>
      </c>
      <c r="B31" s="30" t="s">
        <v>185</v>
      </c>
      <c r="C31" s="21"/>
      <c r="D31" s="22" t="s">
        <v>59</v>
      </c>
      <c r="E31" s="23" t="s">
        <v>186</v>
      </c>
      <c r="F31" s="22" t="s">
        <v>187</v>
      </c>
      <c r="G31" s="22" t="s">
        <v>188</v>
      </c>
      <c r="H31" s="24">
        <v>5</v>
      </c>
      <c r="I31" s="19"/>
      <c r="J31" s="19"/>
      <c r="K31" s="19"/>
      <c r="L31" s="27" t="s">
        <v>0</v>
      </c>
      <c r="M31" s="29" t="s">
        <v>25</v>
      </c>
      <c r="N31" s="26"/>
    </row>
    <row r="32" spans="1:14" ht="85" customHeight="1">
      <c r="A32" s="10">
        <v>29</v>
      </c>
      <c r="B32" s="28" t="s">
        <v>189</v>
      </c>
      <c r="C32" s="12"/>
      <c r="D32" s="13" t="s">
        <v>104</v>
      </c>
      <c r="E32" s="14" t="s">
        <v>190</v>
      </c>
      <c r="F32" s="13" t="s">
        <v>191</v>
      </c>
      <c r="G32" s="13" t="s">
        <v>192</v>
      </c>
      <c r="H32" s="15">
        <v>5</v>
      </c>
      <c r="I32" s="10"/>
      <c r="J32" s="10"/>
      <c r="K32" s="10"/>
      <c r="L32" s="27" t="s">
        <v>0</v>
      </c>
      <c r="M32" s="29" t="s">
        <v>25</v>
      </c>
      <c r="N32" s="18"/>
    </row>
    <row r="33" spans="1:14" ht="85" customHeight="1">
      <c r="A33" s="19">
        <v>30</v>
      </c>
      <c r="B33" s="30" t="s">
        <v>193</v>
      </c>
      <c r="C33" s="21"/>
      <c r="D33" s="22" t="s">
        <v>47</v>
      </c>
      <c r="E33" s="23" t="s">
        <v>194</v>
      </c>
      <c r="F33" s="22" t="s">
        <v>195</v>
      </c>
      <c r="G33" s="22" t="s">
        <v>196</v>
      </c>
      <c r="H33" s="24">
        <v>5</v>
      </c>
      <c r="I33" s="19"/>
      <c r="J33" s="19"/>
      <c r="K33" s="19"/>
      <c r="L33" s="27" t="s">
        <v>0</v>
      </c>
      <c r="M33" s="29" t="s">
        <v>25</v>
      </c>
      <c r="N33" s="26"/>
    </row>
    <row r="34" spans="1:14" ht="85" customHeight="1">
      <c r="A34" s="10">
        <v>31</v>
      </c>
      <c r="B34" s="28" t="s">
        <v>197</v>
      </c>
      <c r="C34" s="12"/>
      <c r="D34" s="13" t="s">
        <v>47</v>
      </c>
      <c r="E34" s="14" t="s">
        <v>198</v>
      </c>
      <c r="F34" s="13" t="s">
        <v>199</v>
      </c>
      <c r="G34" s="13" t="s">
        <v>200</v>
      </c>
      <c r="H34" s="15">
        <v>5</v>
      </c>
      <c r="I34" s="10"/>
      <c r="J34" s="10"/>
      <c r="K34" s="10"/>
      <c r="L34" s="27" t="s">
        <v>0</v>
      </c>
      <c r="M34" s="29" t="s">
        <v>25</v>
      </c>
      <c r="N34" s="18"/>
    </row>
    <row r="36" spans="1:14" ht="24" customHeight="1">
      <c r="A36" s="31" t="s">
        <v>201</v>
      </c>
      <c r="B36" s="31"/>
      <c r="C36" s="31"/>
      <c r="D36" s="31"/>
      <c r="E36" s="31"/>
      <c r="F36" s="31"/>
      <c r="G36" s="31"/>
      <c r="H36" s="31">
        <f>SUM(H4:H34)</f>
        <v>0</v>
      </c>
      <c r="I36" s="31">
        <f>COUNTA(A4:A34)&amp;" tasks"</f>
        <v>0</v>
      </c>
      <c r="J36" s="31"/>
      <c r="K36" s="31"/>
      <c r="L36" s="31"/>
      <c r="M36" s="31"/>
      <c r="N36" s="31"/>
    </row>
    <row r="38" spans="1:14" ht="20" customHeight="1">
      <c r="A38" s="32" t="s">
        <v>202</v>
      </c>
      <c r="B38" s="17" t="s">
        <v>203</v>
      </c>
      <c r="C38" s="29" t="s">
        <v>204</v>
      </c>
      <c r="D38" s="33" t="s">
        <v>205</v>
      </c>
      <c r="G38" s="34" t="s">
        <v>206</v>
      </c>
    </row>
    <row r="39" spans="1:14" ht="18" customHeight="1">
      <c r="A39" s="35" t="s">
        <v>0</v>
      </c>
      <c r="B39" s="36" t="s">
        <v>1</v>
      </c>
      <c r="C39" s="37" t="s">
        <v>2</v>
      </c>
      <c r="D39" s="38" t="s">
        <v>3</v>
      </c>
      <c r="E39" s="39" t="s">
        <v>4</v>
      </c>
      <c r="F39" s="40" t="s">
        <v>5</v>
      </c>
      <c r="G39" s="41" t="s">
        <v>6</v>
      </c>
      <c r="H39" s="42" t="s">
        <v>7</v>
      </c>
    </row>
  </sheetData>
  <mergeCells count="2">
    <mergeCell ref="A1:N1"/>
    <mergeCell ref="A36:G36"/>
  </mergeCells>
  <dataValidations count="1">
    <dataValidation type="list" allowBlank="1" showInputMessage="1" showErrorMessage="1" errorTitle="Giá trị không hợp lệ" error="Vui lòng chọn từ danh sách." promptTitle="Chọn trạng thái" prompt="Chưa tiếp nhận yêu cầu&#10;Đã tiếp nhận yêu cầu&#10;Đang phân tích&#10;Đang trao đổi PBLQ&#10;Đã bàn giao ISC&#10;In Progress DEV&#10;UAT&#10;Done" sqref="L4:L34">
      <formula1>_Config!$A$1:$A$8</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9"/>
  <sheetViews>
    <sheetView showGridLines="0" workbookViewId="0"/>
  </sheetViews>
  <sheetFormatPr defaultRowHeight="15"/>
  <cols>
    <col min="1" max="1" width="6.7109375" customWidth="1"/>
    <col min="2" max="2" width="72.7109375" customWidth="1"/>
    <col min="3" max="3" width="22.7109375" customWidth="1"/>
  </cols>
  <sheetData>
    <row r="1" spans="1:3" ht="30" customHeight="1">
      <c r="A1" s="8" t="s">
        <v>207</v>
      </c>
      <c r="B1" s="8"/>
      <c r="C1" s="8"/>
    </row>
    <row r="2" spans="1:3" ht="22" customHeight="1">
      <c r="A2" s="9" t="s">
        <v>32</v>
      </c>
      <c r="B2" s="9" t="s">
        <v>208</v>
      </c>
      <c r="C2" s="9" t="s">
        <v>209</v>
      </c>
    </row>
    <row r="3" spans="1:3" ht="26" customHeight="1">
      <c r="A3" s="43" t="s">
        <v>210</v>
      </c>
      <c r="B3" s="44" t="s">
        <v>211</v>
      </c>
      <c r="C3" s="45" t="s">
        <v>212</v>
      </c>
    </row>
    <row r="4" spans="1:3" ht="26" customHeight="1">
      <c r="A4" s="43" t="s">
        <v>213</v>
      </c>
      <c r="B4" s="46" t="s">
        <v>214</v>
      </c>
      <c r="C4" s="47" t="s">
        <v>215</v>
      </c>
    </row>
    <row r="5" spans="1:3" ht="26" customHeight="1">
      <c r="A5" s="43" t="s">
        <v>216</v>
      </c>
      <c r="B5" s="44" t="s">
        <v>217</v>
      </c>
      <c r="C5" s="45" t="s">
        <v>218</v>
      </c>
    </row>
    <row r="6" spans="1:3" ht="26" customHeight="1">
      <c r="A6" s="43" t="s">
        <v>219</v>
      </c>
      <c r="B6" s="46" t="s">
        <v>220</v>
      </c>
      <c r="C6" s="47" t="s">
        <v>221</v>
      </c>
    </row>
    <row r="7" spans="1:3" ht="26" customHeight="1">
      <c r="A7" s="43" t="s">
        <v>222</v>
      </c>
      <c r="B7" s="44" t="s">
        <v>223</v>
      </c>
      <c r="C7" s="45" t="s">
        <v>224</v>
      </c>
    </row>
    <row r="8" spans="1:3" ht="26" customHeight="1">
      <c r="A8" s="43" t="s">
        <v>225</v>
      </c>
      <c r="B8" s="46" t="s">
        <v>226</v>
      </c>
      <c r="C8" s="47" t="s">
        <v>227</v>
      </c>
    </row>
    <row r="9" spans="1:3" ht="26" customHeight="1">
      <c r="A9" s="43" t="s">
        <v>228</v>
      </c>
      <c r="B9" s="44" t="s">
        <v>229</v>
      </c>
      <c r="C9" s="45" t="s">
        <v>230</v>
      </c>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_Config</vt:lpstr>
      <vt:lpstr>📋 Cover</vt:lpstr>
      <vt:lpstr>📌 Product Backlog</vt:lpstr>
      <vt:lpstr>✅ Definition of Done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2026-06-28T02:34:51Z</dcterms:created>
  <dcterms:modified xsi:type="dcterms:W3CDTF">2026-06-28T02:34:51Z</dcterms:modified>
</cp:coreProperties>
</file>